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jross\Downloads\"/>
    </mc:Choice>
  </mc:AlternateContent>
  <xr:revisionPtr revIDLastSave="0" documentId="13_ncr:1_{077AC200-84B6-4B7F-A2A7-39B612D1648C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Sheet1" sheetId="2" r:id="rId1"/>
    <sheet name="Distributions to Add" sheetId="1" r:id="rId2"/>
  </sheets>
  <definedNames>
    <definedName name="_xlnm._FilterDatabase" localSheetId="1" hidden="1">'Distributions to Add'!$A$1:$H$121</definedName>
  </definedNames>
  <calcPr calcId="191029" iterateDelta="1E-4"/>
  <pivotCaches>
    <pivotCache cacheId="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25" i="1" l="1"/>
  <c r="I126" i="1"/>
  <c r="I124" i="1"/>
</calcChain>
</file>

<file path=xl/sharedStrings.xml><?xml version="1.0" encoding="utf-8"?>
<sst xmlns="http://schemas.openxmlformats.org/spreadsheetml/2006/main" count="1108" uniqueCount="489">
  <si>
    <t>Distribution</t>
  </si>
  <si>
    <t>Type</t>
  </si>
  <si>
    <t>Field(s)</t>
  </si>
  <si>
    <t>Typical Course(s)</t>
  </si>
  <si>
    <t>Priority Tier</t>
  </si>
  <si>
    <t>scipy.stats Availability</t>
  </si>
  <si>
    <t>Symbulate Integration Effort</t>
  </si>
  <si>
    <t>Notes / Rationale</t>
  </si>
  <si>
    <t>Weibull</t>
  </si>
  <si>
    <t>Univariate Continuous</t>
  </si>
  <si>
    <t>Engineering, Actuarial, Stats</t>
  </si>
  <si>
    <t>Reliability Engineering, Survival Analysis, Intro Stats</t>
  </si>
  <si>
    <t>1 - Highest</t>
  </si>
  <si>
    <t>Yes (weibull_min)</t>
  </si>
  <si>
    <t>Low</t>
  </si>
  <si>
    <t>Simple 2-param wrap; standard time-to-failure distribution, huge near-universal gap</t>
  </si>
  <si>
    <t>Logistic</t>
  </si>
  <si>
    <t>Statistics, ML/Data Science</t>
  </si>
  <si>
    <t>Regression, Intro Stats, ML</t>
  </si>
  <si>
    <t>Yes (logistic)</t>
  </si>
  <si>
    <t>Simple wrap; underlies logistic regression</t>
  </si>
  <si>
    <t>Laplace (Double Exponential)</t>
  </si>
  <si>
    <t>Statistics, Signal Processing, Bayesian Stats</t>
  </si>
  <si>
    <t>Mathematical Statistics, Bayesian Modeling</t>
  </si>
  <si>
    <t>Yes (laplace)</t>
  </si>
  <si>
    <t>Simple wrap; robust error model, L1-style Bayesian priors</t>
  </si>
  <si>
    <t>Gompertz</t>
  </si>
  <si>
    <t>Actuarial Science</t>
  </si>
  <si>
    <t>Life Contingencies, Survival Models</t>
  </si>
  <si>
    <t>Yes (gompertz)</t>
  </si>
  <si>
    <t>Medium</t>
  </si>
  <si>
    <t>scipy has it, but its (c, scale) parameterization must be translated from the actuarial (B, c) mortality convention</t>
  </si>
  <si>
    <t>Makeham</t>
  </si>
  <si>
    <t>Life Contingencies</t>
  </si>
  <si>
    <t>No</t>
  </si>
  <si>
    <t>Medium-High</t>
  </si>
  <si>
    <t>Not in scipy; needs a custom survival-function/hazard-based build (Gompertz + constant term), though the math is well-known and closed-form</t>
  </si>
  <si>
    <t>De Moivre</t>
  </si>
  <si>
    <t>Intro Life Contingencies</t>
  </si>
  <si>
    <t>Not in scipy, but it's literally a reparameterized Uniform, so trivial to build directly</t>
  </si>
  <si>
    <t>Dirichlet</t>
  </si>
  <si>
    <t>Multivariate</t>
  </si>
  <si>
    <t>Statistics, Bayesian Stats, ML</t>
  </si>
  <si>
    <t>Bayesian Statistics, Multivariate Stats, NLP/Topic Modeling</t>
  </si>
  <si>
    <t>Yes (dirichlet)</t>
  </si>
  <si>
    <t>scipy has it, but vector-valued output needs the same joint-sampling/marginal handling work MultivariateNormal already required</t>
  </si>
  <si>
    <t>Generalized Extreme Value (GEV)</t>
  </si>
  <si>
    <t>Engineering, Actuarial, Finance/Risk</t>
  </si>
  <si>
    <t>Extreme Value Theory, Hydrology, Risk Management</t>
  </si>
  <si>
    <t>Yes (genextreme)</t>
  </si>
  <si>
    <t>One wrap covers Gumbel/Frechet/reverse-Weibull via the shape parameter</t>
  </si>
  <si>
    <t>Noncentral t</t>
  </si>
  <si>
    <t>Statistics</t>
  </si>
  <si>
    <t>Mathematical Statistics, Power Analysis</t>
  </si>
  <si>
    <t>Yes (nct)</t>
  </si>
  <si>
    <t>Direct wrap; needed for power/effect-size analysis alongside existing central t</t>
  </si>
  <si>
    <t>Noncentral Chi-square</t>
  </si>
  <si>
    <t>Yes (ncx2)</t>
  </si>
  <si>
    <t>Direct wrap; needed for power analysis and non-null test distributions</t>
  </si>
  <si>
    <t>Noncentral F</t>
  </si>
  <si>
    <t>ANOVA, Power Analysis</t>
  </si>
  <si>
    <t>Yes (ncf)</t>
  </si>
  <si>
    <t>Direct wrap; needed for ANOVA power analysis</t>
  </si>
  <si>
    <t>Beta-Binomial</t>
  </si>
  <si>
    <t>Univariate Discrete</t>
  </si>
  <si>
    <t>Statistics, Actuarial, Bayesian Stats</t>
  </si>
  <si>
    <t>Bayesian Statistics, Loss Models</t>
  </si>
  <si>
    <t>Yes (betabinom)</t>
  </si>
  <si>
    <t>Direct wrap; standard conjugate model for overdispersed binomial/count data</t>
  </si>
  <si>
    <t>LKJ (correlation matrix prior)</t>
  </si>
  <si>
    <t>Multivariate (matrix-valued)</t>
  </si>
  <si>
    <t>Statistics, Bayesian Stats</t>
  </si>
  <si>
    <t>Bayesian Statistics, Multivariate Bayesian Modeling</t>
  </si>
  <si>
    <t>The default correlation-matrix prior in modern Bayesian workflows (Stan/PyMC); arguably as important as Wishart for this audience, and neither scipy nor Symbulate has it</t>
  </si>
  <si>
    <t>Generalized Pareto Distribution (GPD)</t>
  </si>
  <si>
    <t>Actuarial, Finance/Risk, Engineering</t>
  </si>
  <si>
    <t>Extreme Value Theory, Insurance Risk</t>
  </si>
  <si>
    <t>2 - High</t>
  </si>
  <si>
    <t>Yes (genpareto)</t>
  </si>
  <si>
    <t>Direct wrap; peaks-over-threshold counterpart to GEV</t>
  </si>
  <si>
    <t>Tweedie</t>
  </si>
  <si>
    <t>P&amp;C Ratemaking, GLMs</t>
  </si>
  <si>
    <t>High</t>
  </si>
  <si>
    <t>Not in scipy.stats; compound Poisson-Gamma has no simple closed-form density in general, requires custom simulation and density approximation</t>
  </si>
  <si>
    <t>Burr (Burr XII)</t>
  </si>
  <si>
    <t>Actuarial Science, Economics</t>
  </si>
  <si>
    <t>Loss Models (SOA curriculum)</t>
  </si>
  <si>
    <t>Yes (burr12)</t>
  </si>
  <si>
    <t>Direct wrap; standard heavy-tailed severity distribution in Klugman's Loss Models</t>
  </si>
  <si>
    <t>Lomax (Pareto Type II)</t>
  </si>
  <si>
    <t>Loss Models, Income Distributions</t>
  </si>
  <si>
    <t>Yes (lomax)</t>
  </si>
  <si>
    <t>Direct wrap; common claim-severity distribution</t>
  </si>
  <si>
    <t>Inverse Gamma</t>
  </si>
  <si>
    <t>Bayesian Statistics</t>
  </si>
  <si>
    <t>Yes (invgamma)</t>
  </si>
  <si>
    <t>Direct wrap; standard conjugate prior for variance parameters</t>
  </si>
  <si>
    <t>Half-Normal</t>
  </si>
  <si>
    <t>Yes (halfnorm)</t>
  </si>
  <si>
    <t>Direct wrap; common weakly-informative prior (Stan/PyMC defaults)</t>
  </si>
  <si>
    <t>Half-Cauchy</t>
  </si>
  <si>
    <t>Yes (halfcauchy)</t>
  </si>
  <si>
    <t>Direct wrap; common weakly-informative prior for scale parameters</t>
  </si>
  <si>
    <t>Multivariate t (Student)</t>
  </si>
  <si>
    <t>Statistics, Finance</t>
  </si>
  <si>
    <t>Multivariate Statistics, Robust Regression, Finance</t>
  </si>
  <si>
    <t>Yes (multivariate_t)</t>
  </si>
  <si>
    <t>scipy has it, but vector-valued output needs the same handling MultivariateNormal already required</t>
  </si>
  <si>
    <t>Wishart</t>
  </si>
  <si>
    <t>Multivariate Bayesian Statistics</t>
  </si>
  <si>
    <t>Yes (wishart)</t>
  </si>
  <si>
    <t>scipy has it, but draws are entire matrices, not vectors — Symbulate has no existing precedent for plotting/summarizing matrix-valued draws</t>
  </si>
  <si>
    <t>Inverse Wishart</t>
  </si>
  <si>
    <t>Yes (invwishart)</t>
  </si>
  <si>
    <t>Same matrix-output handling challenge as Wishart</t>
  </si>
  <si>
    <t>Gumbel (Extreme Value Type I)</t>
  </si>
  <si>
    <t>Engineering, Finance, ML</t>
  </si>
  <si>
    <t>Hydrology, Risk Management, ML (Gumbel-softmax)</t>
  </si>
  <si>
    <t>Yes (gumbel_r / gumbel_l)</t>
  </si>
  <si>
    <t>Direct wrap; still taught by name even where GEV is available</t>
  </si>
  <si>
    <t>Zipf</t>
  </si>
  <si>
    <t>Statistics, Linguistics, CS</t>
  </si>
  <si>
    <t>Intro Stats/CS Crossover, Power-Law Phenomena</t>
  </si>
  <si>
    <t>Yes (zipfian / zipf)</t>
  </si>
  <si>
    <t>Direct wrap; standard example of heavy-tailed/power-law discrete behavior</t>
  </si>
  <si>
    <t>Generic Truncation/Zero-Modification Wrapper</t>
  </si>
  <si>
    <t>Modifier (any discrete dist.)</t>
  </si>
  <si>
    <t>No (architectural feature, not a distribution)</t>
  </si>
  <si>
    <t>Needs to operate generically over any existing discrete distribution (Poisson, Binomial, NegBinomial, Geometric) rather than being one class; a design decision, not a wrap</t>
  </si>
  <si>
    <t>Beta-Pascal / Beta-Negative Binomial</t>
  </si>
  <si>
    <t>Actuarial Science, Statistics</t>
  </si>
  <si>
    <t>Yes (betanbinom)</t>
  </si>
  <si>
    <t>Overdispersed negative-binomial counterpart to Beta-Binomial (already in this table); direct wrap</t>
  </si>
  <si>
    <t>Kumaraswamy</t>
  </si>
  <si>
    <t>Statistics, Engineering</t>
  </si>
  <si>
    <t>Applied Statistics, Simulation</t>
  </si>
  <si>
    <t>Beta look-alike with simple closed-form CDF/quantile; genuinely useful and easy to implement even without scipy backing</t>
  </si>
  <si>
    <t>PERT</t>
  </si>
  <si>
    <t>Project Management, Risk Analysis, Statistics</t>
  </si>
  <si>
    <t>Simulation, Risk Analysis, PERT Estimation</t>
  </si>
  <si>
    <t>Low-Medium</t>
  </si>
  <si>
    <t>Special case of 4-parameter Beta; pairs directly with Triangular already in this table</t>
  </si>
  <si>
    <t>Bates</t>
  </si>
  <si>
    <t>Statistics, Simulation</t>
  </si>
  <si>
    <t>Simulation, Intro Statistics (CLT teaching)</t>
  </si>
  <si>
    <t>Mean of n uniforms; companion to Irwin-Hall (sum vs. mean), useful CLT teaching pair</t>
  </si>
  <si>
    <t>Irwin–Hall</t>
  </si>
  <si>
    <t>Yes (irwinhall)</t>
  </si>
  <si>
    <t>Sum of n iid uniforms; should have been in the original table — genuine omission, not a low-priority call</t>
  </si>
  <si>
    <t>Hyperexponential</t>
  </si>
  <si>
    <t>Engineering, Operations Research</t>
  </si>
  <si>
    <t>Queueing Theory, Reliability Engineering</t>
  </si>
  <si>
    <t>Staple of queueing theory; models 'fast or slow' service-time heterogeneity via a mixture of exponentials</t>
  </si>
  <si>
    <t>Hypoexponential</t>
  </si>
  <si>
    <t>Companion to Hyperexponential; models multi-stage service/failure processes as a sum of exponentials with distinct rates</t>
  </si>
  <si>
    <t>Log-Gamma</t>
  </si>
  <si>
    <t>Loss Models, Extreme Value Theory</t>
  </si>
  <si>
    <t>Yes (loggamma)</t>
  </si>
  <si>
    <t>Mentioned in an earlier discussion of actuarial additions but never actually added — genuine omission being corrected here</t>
  </si>
  <si>
    <t>Truncated Normal</t>
  </si>
  <si>
    <t>Statistics, Engineering, Bayesian Stats</t>
  </si>
  <si>
    <t>Applied Statistics, Bayesian Statistics</t>
  </si>
  <si>
    <t>Yes (truncnorm)</t>
  </si>
  <si>
    <t>Extremely common in practice; also shows the existing discrete-only truncation wrapper needs a continuous counterpart</t>
  </si>
  <si>
    <t>Scaled/Inverse Chi-Squared</t>
  </si>
  <si>
    <t>Yes (reparameterization of invgamma)</t>
  </si>
  <si>
    <t>Extremely common naming convention in Bayesian textbooks (e.g., Gelman et al.); worth a named alias even though mathematically = Inverse Gamma</t>
  </si>
  <si>
    <t>Gamma/Gompertz</t>
  </si>
  <si>
    <t>Gompertz mortality with Gamma frailty (population heterogeneity); natural extension once Gompertz/Makeham exist</t>
  </si>
  <si>
    <t>Exponentially Modified Gaussian</t>
  </si>
  <si>
    <t>Statistics, Psychology, Chemistry</t>
  </si>
  <si>
    <t>Applied Statistics, Psychometrics</t>
  </si>
  <si>
    <t>Yes (exponnorm)</t>
  </si>
  <si>
    <t>Real applied use in chromatography and reaction-time modeling in psychology — broader audience than most lower-tier items</t>
  </si>
  <si>
    <t>Skew t</t>
  </si>
  <si>
    <t>Finance, Statistics</t>
  </si>
  <si>
    <t>Robust Statistics, Quantitative Finance</t>
  </si>
  <si>
    <t>Natural extension of Skew-Normal already in this table; notable in finance/robust modeling</t>
  </si>
  <si>
    <t>Reciprocal / Log-Uniform</t>
  </si>
  <si>
    <t>Statistics, ML, Engineering</t>
  </si>
  <si>
    <t>Applied Statistics, ML Hyperparameter Search</t>
  </si>
  <si>
    <t>Yes (loguniform / reciprocal)</t>
  </si>
  <si>
    <t>Mentioned in the very first response of this conversation and never actually added to the table — genuine omission being corrected here; also widely used for ML hyperparameter search ranges</t>
  </si>
  <si>
    <t>Hotelling's T-squared</t>
  </si>
  <si>
    <t>Multivariate Statistics</t>
  </si>
  <si>
    <t>Multivariate generalization of t²; pairs directly with Multivariate t already in this table, core topic in multivariate stats courses</t>
  </si>
  <si>
    <t>Categorical (formal Distribution-API version)</t>
  </si>
  <si>
    <t>Univariate Discrete (non-numeric outcomes)</t>
  </si>
  <si>
    <t>Statistics, ML</t>
  </si>
  <si>
    <t>Intro Probability, ML</t>
  </si>
  <si>
    <t>No (not a scipy concept)</t>
  </si>
  <si>
    <t>Directly closes the gap identified in the BoxModel vs. Empirical discussion — would give BoxModel-style non-numeric outcomes the same pmf/mode/plot access Empirical gives integer outcomes</t>
  </si>
  <si>
    <t>General Mixture-Distribution Builder</t>
  </si>
  <si>
    <t>Modifier (any distribution)</t>
  </si>
  <si>
    <t>Partial (component distributions exist; no generic container)</t>
  </si>
  <si>
    <t>Generic weighted-combination wrapper over any existing distributions; would also directly enable Hyperexponential as a special case</t>
  </si>
  <si>
    <t>Continuous Truncation Wrapper</t>
  </si>
  <si>
    <t>Modifier (any continuous distribution)</t>
  </si>
  <si>
    <t>Partial (truncnorm exists as one instance; no generic wrapper)</t>
  </si>
  <si>
    <t>Continuous counterpart to the existing discrete truncation/zero-modification wrapper already in this table</t>
  </si>
  <si>
    <t>Negative Hypergeometric</t>
  </si>
  <si>
    <t>Statistics, Probability</t>
  </si>
  <si>
    <t>Probability Theory</t>
  </si>
  <si>
    <t>3 - Medium</t>
  </si>
  <si>
    <t>Yes (nhypergeom)</t>
  </si>
  <si>
    <t>Direct wrap; natural counterpart to existing Hypergeometric</t>
  </si>
  <si>
    <t>Multivariate Hypergeometric</t>
  </si>
  <si>
    <t>Yes (multivariate_hypergeom)</t>
  </si>
  <si>
    <t>scipy has it, but needs the same vector-output handling as other multivariate additions</t>
  </si>
  <si>
    <t>Triangular</t>
  </si>
  <si>
    <t>Simulation, Risk Modeling, Project Management</t>
  </si>
  <si>
    <t>Yes (triang)</t>
  </si>
  <si>
    <t>Direct wrap; common first hand-built distribution in simulation/risk modeling</t>
  </si>
  <si>
    <t>Skew-Normal</t>
  </si>
  <si>
    <t>Statistics, Finance, Engineering</t>
  </si>
  <si>
    <t>Applied Statistics</t>
  </si>
  <si>
    <t>Yes (skewnorm)</t>
  </si>
  <si>
    <t>Direct wrap; flexible skewed generalization of Normal</t>
  </si>
  <si>
    <t>Inverse Gaussian (Wald)</t>
  </si>
  <si>
    <t>Applied Statistics, Reliability</t>
  </si>
  <si>
    <t>Yes (invgauss / wald)</t>
  </si>
  <si>
    <t>Direct wrap; first-passage-time distribution</t>
  </si>
  <si>
    <t>Birnbaum-Saunders (Fatigue Life)</t>
  </si>
  <si>
    <t>Engineering</t>
  </si>
  <si>
    <t>Reliability Engineering, Fatigue Analysis</t>
  </si>
  <si>
    <t>Yes (fatiguelife)</t>
  </si>
  <si>
    <t>Direct wrap; standard fatigue-life model in engineering reliability</t>
  </si>
  <si>
    <t>Generalized Gamma</t>
  </si>
  <si>
    <t>Reliability, Survival Analysis</t>
  </si>
  <si>
    <t>Yes (gengamma)</t>
  </si>
  <si>
    <t>scipy has it, but mapping parameters across its Gamma/Weibull/Exponential special cases needs care to present clearly to students</t>
  </si>
  <si>
    <t>Erlang</t>
  </si>
  <si>
    <t>Queueing Theory</t>
  </si>
  <si>
    <t>Yes (erlang)</t>
  </si>
  <si>
    <t>Direct wrap; Gamma with integer shape, taught by name constantly in queueing theory</t>
  </si>
  <si>
    <t>Rice / Rician</t>
  </si>
  <si>
    <t>Signal Processing, Communications</t>
  </si>
  <si>
    <t>Yes (rice)</t>
  </si>
  <si>
    <t>Direct wrap; standard model for signal fading in communications engineering</t>
  </si>
  <si>
    <t>Skellam</t>
  </si>
  <si>
    <t>Statistics, Sports Analytics</t>
  </si>
  <si>
    <t>Yes (skellam)</t>
  </si>
  <si>
    <t>Direct wrap; difference of two Poissons</t>
  </si>
  <si>
    <t>Fréchet (Extreme Value Type II)</t>
  </si>
  <si>
    <t>Finance, Engineering</t>
  </si>
  <si>
    <t>Extreme Value Theory</t>
  </si>
  <si>
    <t>Yes (invweibull)</t>
  </si>
  <si>
    <t>Direct wrap, though scipy's naming is a trap: it's called invweibull, not frechet (the old frechet_r/l names were deprecated)</t>
  </si>
  <si>
    <t>Log-Logistic (Fisk)</t>
  </si>
  <si>
    <t>Survival Analysis, Loss Models</t>
  </si>
  <si>
    <t>Yes (fisk)</t>
  </si>
  <si>
    <t>Direct wrap; survival-analysis alternative to Weibull</t>
  </si>
  <si>
    <t>Benford's Law</t>
  </si>
  <si>
    <t>Statistics, Forensic Accounting, Data Science</t>
  </si>
  <si>
    <t>Intro Stats, Forensic Accounting, Data Science Electives</t>
  </si>
  <si>
    <t>Classic fraud-detection/applied-stats teaching example; simple closed-form pmf P(d)=log10(1+1/d)</t>
  </si>
  <si>
    <t>Poisson Binomial</t>
  </si>
  <si>
    <t>Statistics, Data Science</t>
  </si>
  <si>
    <t>Applied Statistics, Survey Sampling</t>
  </si>
  <si>
    <t>Sum of independent non-identical Bernoullis; pmf needs convolution/recursive algorithm, not simply closed-form</t>
  </si>
  <si>
    <t>Zeta</t>
  </si>
  <si>
    <t>Statistics, Number Theory</t>
  </si>
  <si>
    <t>Applied Statistics, Power-Law Phenomena</t>
  </si>
  <si>
    <t>Yes (zipf)</t>
  </si>
  <si>
    <t>Infinite-support limiting case of Zipf; scipy's naming is a trap (zipf=zeta, zipfian=finite Zipf) worth flagging directly</t>
  </si>
  <si>
    <t>Noncentral Hypergeometric (Fisher's / Wallenius')</t>
  </si>
  <si>
    <t>Statistics, Genetics, Ecology</t>
  </si>
  <si>
    <t>Applied Statistics, Biostatistics</t>
  </si>
  <si>
    <t>Yes (nchypergeom_fisher, nchypergeom_wallenius)</t>
  </si>
  <si>
    <t>Models biased sampling without replacement; two related variants, some explanation needed to distinguish them</t>
  </si>
  <si>
    <t>Negative Multinomial</t>
  </si>
  <si>
    <t>Multivariate generalization of Negative Binomial, the way Multinomial generalizes Binomial</t>
  </si>
  <si>
    <t>Degenerate / Point-Mass</t>
  </si>
  <si>
    <t>Intro Probability</t>
  </si>
  <si>
    <t>Trivial constant-outcome distribution; useful building block for mixtures and edge-case teaching</t>
  </si>
  <si>
    <t>Birthday Distribution</t>
  </si>
  <si>
    <t>Univariate Discrete (combinatorial)</t>
  </si>
  <si>
    <t>Intro Probability, Combinatorics</t>
  </si>
  <si>
    <t>Classic 'birthday problem' teaching distribution; likely more valuable as a worked example than a formal class</t>
  </si>
  <si>
    <t>Coupon Collector Distribution</t>
  </si>
  <si>
    <t>Classic combinatorial waiting-time problem; pairs pedagogically with Birthday Distribution</t>
  </si>
  <si>
    <t>Arcsine</t>
  </si>
  <si>
    <t>Statistics, Probability Theory</t>
  </si>
  <si>
    <t>Probability Theory, Random Walks</t>
  </si>
  <si>
    <t>Yes (arcsine)</t>
  </si>
  <si>
    <t>Beta(1/2,1/2) special case; appears in random walk / order statistics theory</t>
  </si>
  <si>
    <t>Chi</t>
  </si>
  <si>
    <t>Mathematical Statistics</t>
  </si>
  <si>
    <t>Yes (chi)</t>
  </si>
  <si>
    <t>Square root of Chi-square; parent distribution of Rayleigh and Maxwell-Boltzmann</t>
  </si>
  <si>
    <t>Noncentral Beta</t>
  </si>
  <si>
    <t>Power Analysis (R²/partial correlation tests)</t>
  </si>
  <si>
    <t>Confirmed absent from scipy; used in power analysis for R² and partial-correlation tests</t>
  </si>
  <si>
    <t>Exponential Power / Generalized Normal</t>
  </si>
  <si>
    <t>Statistics, Signal Processing</t>
  </si>
  <si>
    <t>Yes (exponpow, gennorm)</t>
  </si>
  <si>
    <t>Unifies Normal/Laplace/Uniform-like tail behavior via one shape parameter</t>
  </si>
  <si>
    <t>Beta Prime / Inverted Beta</t>
  </si>
  <si>
    <t>Mathematical Statistics, Bayesian Statistics</t>
  </si>
  <si>
    <t>Yes (betaprime)</t>
  </si>
  <si>
    <t>Related to F-distribution; used in Bayesian variance modeling</t>
  </si>
  <si>
    <t>Power / Power-Function</t>
  </si>
  <si>
    <t>Statistics, Reliability</t>
  </si>
  <si>
    <t>Yes (powerlaw)</t>
  </si>
  <si>
    <t>Beta(a,1) special case; simple but distinct named distribution worth surfacing directly</t>
  </si>
  <si>
    <t>Two-Sided Power (TSP)</t>
  </si>
  <si>
    <t>Simulation, Risk Analysis</t>
  </si>
  <si>
    <t>Generalizes Triangular the way GEV generalizes Gumbel; natural extension once Triangular exists</t>
  </si>
  <si>
    <t>Generalized Beta of the Second Kind (GB2)</t>
  </si>
  <si>
    <t>Loss Models, Income Distribution Modeling (grad)</t>
  </si>
  <si>
    <t>4-parameter umbrella family over Burr/Singh-Maddala/Lomax already in this table</t>
  </si>
  <si>
    <t>Dagum</t>
  </si>
  <si>
    <t>Income Distribution Modeling, Loss Models</t>
  </si>
  <si>
    <t>Income-distribution family sitting alongside Burr/Singh-Maddala already in this table</t>
  </si>
  <si>
    <t>Folded-Normal</t>
  </si>
  <si>
    <t>Yes (foldnorm)</t>
  </si>
  <si>
    <t>|X| where X~Normal(μ,σ) with μ≠0; distinct from Half-Normal already in this table, which assumes μ=0</t>
  </si>
  <si>
    <t>Maxwell-Boltzmann</t>
  </si>
  <si>
    <t>Physics, Engineering</t>
  </si>
  <si>
    <t>Statistical Mechanics, Physics-Stats Crossover</t>
  </si>
  <si>
    <t>Yes (maxwell)</t>
  </si>
  <si>
    <t>Classic physics speed distribution; special case of Chi with 3 degrees of freedom</t>
  </si>
  <si>
    <t>Wigner Semicircle</t>
  </si>
  <si>
    <t>Statistics, Physics</t>
  </si>
  <si>
    <t>Random Matrix Theory (grad)</t>
  </si>
  <si>
    <t>Yes (semicircular)</t>
  </si>
  <si>
    <t>Foundational random matrix theory result; notable for grad-level probability</t>
  </si>
  <si>
    <t>Trapezoidal</t>
  </si>
  <si>
    <t>Yes (trapezoid)</t>
  </si>
  <si>
    <t>Generalizes Triangular/Uniform; common in simulation modeling</t>
  </si>
  <si>
    <t>Generalized Logistic</t>
  </si>
  <si>
    <t>Applied Statistics, Extreme Value Theory</t>
  </si>
  <si>
    <t>Yes (genlogistic)</t>
  </si>
  <si>
    <t>Skewed generalization of Logistic already in this table</t>
  </si>
  <si>
    <t>Marshall–Olkin Exponential</t>
  </si>
  <si>
    <t>Univariate Continuous (bivariate construction)</t>
  </si>
  <si>
    <t>Engineering, Reliability</t>
  </si>
  <si>
    <t>Reliability Engineering (grad)</t>
  </si>
  <si>
    <t>Models dependent component failure times via a shock-model construction; notable in reliability engineering</t>
  </si>
  <si>
    <t>Continuous Bernoulli</t>
  </si>
  <si>
    <t>Machine Learning, Statistics</t>
  </si>
  <si>
    <t>ML/Data Science</t>
  </si>
  <si>
    <t>Modern ML use (VAE probabilistic pixel outputs); relevant for ML-adjacent stats courses</t>
  </si>
  <si>
    <t>Logit-Normal</t>
  </si>
  <si>
    <t>Bayesian Statistics, ML</t>
  </si>
  <si>
    <t>Common for modeling probabilities in Bayesian/ML contexts</t>
  </si>
  <si>
    <t>von Mises–Fisher</t>
  </si>
  <si>
    <t>Multivariate (directional)</t>
  </si>
  <si>
    <t>Directional/Circular Statistics (grad)</t>
  </si>
  <si>
    <t>Yes (vonmises_fisher)</t>
  </si>
  <si>
    <t>Spherical generalization of Von Mises already in this table, to higher dimensions</t>
  </si>
  <si>
    <t>Order Statistics / Finite Order Statistic</t>
  </si>
  <si>
    <t>Modifier/Feature (derived from any distribution)</t>
  </si>
  <si>
    <t>No (not a distribution per se)</t>
  </si>
  <si>
    <t>Distribution of the k-th order statistic of n iid draws; likely already achievable via existing RV transformations in Symbulate — worth confirming before building anything new</t>
  </si>
  <si>
    <t>Test-Statistic Sampling Distributions (KS, Kolmogorov, Anderson-Darling)</t>
  </si>
  <si>
    <t>Univariate Continuous (special-purpose)</t>
  </si>
  <si>
    <t>Mathematical Statistics, Goodness-of-Fit Testing</t>
  </si>
  <si>
    <t>Yes (ksone, kstwobign, kstwo, anderson)</t>
  </si>
  <si>
    <t>A different category from modeling distributions — these are sampling distributions of goodness-of-fit test statistics; direct scipy wraps</t>
  </si>
  <si>
    <t>Von Mises</t>
  </si>
  <si>
    <t>Directional/Circular Statistics</t>
  </si>
  <si>
    <t>4 - Lower</t>
  </si>
  <si>
    <t>Yes (vonmises / vonmises_line)</t>
  </si>
  <si>
    <t>scipy has it, but circular support (wraparound at 2π) needs care in plotting/spinner display, which assume linear support</t>
  </si>
  <si>
    <t>Nakagami</t>
  </si>
  <si>
    <t>Wireless Signal Modeling</t>
  </si>
  <si>
    <t>Yes (nakagami)</t>
  </si>
  <si>
    <t>Direct wrap; domain-specific to wireless/physics applications</t>
  </si>
  <si>
    <t>Lévy</t>
  </si>
  <si>
    <t>Physics, Finance</t>
  </si>
  <si>
    <t>Stochastic Processes</t>
  </si>
  <si>
    <t>Yes (levy / levy_l)</t>
  </si>
  <si>
    <t>Direct wrap; special case of stable distributions</t>
  </si>
  <si>
    <t>Conway-Maxwell-Poisson</t>
  </si>
  <si>
    <t>Advanced Count-Data Modeling</t>
  </si>
  <si>
    <t>Not in scipy; normalizing constant has no closed form and requires numerical summation, complicating both pmf evaluation and sampling</t>
  </si>
  <si>
    <t>Yule-Simon</t>
  </si>
  <si>
    <t>Statistics, Network Science</t>
  </si>
  <si>
    <t>Yes (yulesimon)</t>
  </si>
  <si>
    <t>Direct wrap; power-law discrete model</t>
  </si>
  <si>
    <t>Discrete Weibull</t>
  </si>
  <si>
    <t>Advanced Reliability</t>
  </si>
  <si>
    <t>NOT in scipy despite appearances: scipy.stats.dweibull is the continuous 'double Weibull,' not the discrete Weibull — a naming trap worth flagging for whoever implements this; needs a fully custom pmf/cdf</t>
  </si>
  <si>
    <t>Logarithmic (Log-Series)</t>
  </si>
  <si>
    <t>Statistics, Ecology</t>
  </si>
  <si>
    <t>Yes (logser)</t>
  </si>
  <si>
    <t>Direct wrap; specialized count model, occasionally in ecology/biostatistics</t>
  </si>
  <si>
    <t>Variance-Gamma</t>
  </si>
  <si>
    <t>Finance</t>
  </si>
  <si>
    <t>Quantitative Finance (grad)</t>
  </si>
  <si>
    <t>Not in scipy; density involves a modified Bessel function with no simple closed form, and no ready sampling routine</t>
  </si>
  <si>
    <t>Normal-Inverse Gaussian (NIG)</t>
  </si>
  <si>
    <t>Yes (norminvgauss)</t>
  </si>
  <si>
    <t>scipy has it, but it's a 4-parameter family that takes care to present intuitively to students</t>
  </si>
  <si>
    <t>Stable (Lévy-stable)</t>
  </si>
  <si>
    <t>Quantitative Finance, Probability Theory (grad)</t>
  </si>
  <si>
    <t>Yes (levy_stable)</t>
  </si>
  <si>
    <t>scipy has it, but its own docs note the general (non-special-case) implementation is numerically delicate and slow</t>
  </si>
  <si>
    <t>Generalized Hyperbolic</t>
  </si>
  <si>
    <t>Yes (genhyperbolic)</t>
  </si>
  <si>
    <t>scipy has it, but many parameters and subtle special-case relationships to Variance-Gamma/NIG need careful explanation for students</t>
  </si>
  <si>
    <t>Johnson SU / SB</t>
  </si>
  <si>
    <t>Applied Statistics, Distribution Fitting</t>
  </si>
  <si>
    <t>Yes (johnsonsu, johnsonsb)</t>
  </si>
  <si>
    <t>Direct wrap; flexible skew/kurtosis family for fitting non-normal data</t>
  </si>
  <si>
    <t>Gaussian Copula</t>
  </si>
  <si>
    <t>Multivariate / Dependence</t>
  </si>
  <si>
    <t>Risk Management, Quantitative Finance (grad)</t>
  </si>
  <si>
    <t>No copula support anywhere in scipy.stats; requires building joint-CDF construction via a correlation matrix plus marginal transforms from scratch</t>
  </si>
  <si>
    <t>t-Copula</t>
  </si>
  <si>
    <t>Same gap as Gaussian Copula, plus needs multivariate-t machinery underneath</t>
  </si>
  <si>
    <t>Matrix Normal</t>
  </si>
  <si>
    <t>Advanced Multivariate Statistics (grad)</t>
  </si>
  <si>
    <t>Yes (matrix_normal)</t>
  </si>
  <si>
    <t>scipy has it, but matrix-valued output has the same display/summary challenge as Wishart</t>
  </si>
  <si>
    <t>Phase-Type Distributions</t>
  </si>
  <si>
    <t>Univariate Continuous (class)</t>
  </si>
  <si>
    <t>Actuarial Science, Operations Research</t>
  </si>
  <si>
    <t>Ruin Theory, Queueing Theory (grad)</t>
  </si>
  <si>
    <t>Not in scipy; requires building general sub-generator-matrix machinery from scratch, a substantial standalone project</t>
  </si>
  <si>
    <t>Singh-Maddala</t>
  </si>
  <si>
    <t>Economics, Actuarial Science</t>
  </si>
  <si>
    <t>Income Distribution Modeling</t>
  </si>
  <si>
    <t>Yes (via burr12 reparameterization)</t>
  </si>
  <si>
    <t>Not a distinct scipy distribution, but a direct reparameterization of Burr XII, so implementation is mostly a relabeling exercise</t>
  </si>
  <si>
    <t>Champernowne</t>
  </si>
  <si>
    <t>Economics</t>
  </si>
  <si>
    <t>Income Distribution Modeling (elective)</t>
  </si>
  <si>
    <t>Not in scipy, but has a known closed-form CDF, so custom implementation is straightforward even though not a wrap</t>
  </si>
  <si>
    <t>Rademacher</t>
  </si>
  <si>
    <t>Probability Theory, Statistics</t>
  </si>
  <si>
    <t>Trivial variant of Bernoulli (±1, p=.5); useful in random-sign/Monte Carlo contexts</t>
  </si>
  <si>
    <t>Zipf-Mandelbrot</t>
  </si>
  <si>
    <t>Statistics, Linguistics, Information Theory</t>
  </si>
  <si>
    <t>Applied Statistics, NLP</t>
  </si>
  <si>
    <t>Generalizes Zipf with an added parameter; needs custom normalizing-constant computation</t>
  </si>
  <si>
    <t>Discrete ArcSine</t>
  </si>
  <si>
    <t>Random Walks, Stochastic Processes</t>
  </si>
  <si>
    <t>Discrete counterpart to continuous Arcsine; pmf derived from random-walk sign-change theory</t>
  </si>
  <si>
    <t>Boltzmann</t>
  </si>
  <si>
    <t>Physics, Statistics</t>
  </si>
  <si>
    <t>Statistical-physics distribution over discrete energy levels</t>
  </si>
  <si>
    <t>Borel</t>
  </si>
  <si>
    <t>Probability Theory, Operations Research</t>
  </si>
  <si>
    <t>Branching Processes, Queueing Theory (grad)</t>
  </si>
  <si>
    <t>Arises from branching processes and busy-period queueing analysis</t>
  </si>
  <si>
    <t>Matching Distribution</t>
  </si>
  <si>
    <t>Classic derangement/matching problem distribution</t>
  </si>
  <si>
    <t>Noncentral Chi</t>
  </si>
  <si>
    <t>Mathematical Statistics, Signal Processing</t>
  </si>
  <si>
    <t>Less common than noncentral chi-square, but a real remaining gap once that one is added</t>
  </si>
  <si>
    <t>Doubly Noncentral t</t>
  </si>
  <si>
    <t>Advanced Mathematical Statistics (grad)</t>
  </si>
  <si>
    <t>Both numerator and denominator noncentral; no standard package support, advanced power-analysis edge case</t>
  </si>
  <si>
    <t>Doubly Noncentral F</t>
  </si>
  <si>
    <t>Same rationale as Doubly Noncentral t</t>
  </si>
  <si>
    <t>Hyperbolic-Secant</t>
  </si>
  <si>
    <t>Yes (hypsecant)</t>
  </si>
  <si>
    <t>Logistic-like shape; occasional alternative to Normal</t>
  </si>
  <si>
    <t>Marchenko–Pastur</t>
  </si>
  <si>
    <t>Pairs with Wigner Semicircle in random matrix theory; density is piecewise depending on aspect-ratio parameter</t>
  </si>
  <si>
    <t>Tracy–Widom</t>
  </si>
  <si>
    <t>Same cluster as Semicircle/Marchenko-Pastur; no closed-form density, defined via Painlevé differential equations</t>
  </si>
  <si>
    <t>U-Quadratic</t>
  </si>
  <si>
    <t>Bathtub-shaped density on a bounded interval; niche but simple</t>
  </si>
  <si>
    <t>Fisher's z-distribution</t>
  </si>
  <si>
    <t>Mathematical Statistics (historical/classical)</t>
  </si>
  <si>
    <t>Classical transform of F; historically important but rarely used directly today</t>
  </si>
  <si>
    <t>Hyperbolic (general family)</t>
  </si>
  <si>
    <t>Umbrella family for NIG and Variance-Gamma already in this table; the general family is harder to implement than its special cases</t>
  </si>
  <si>
    <t>Voigt Profile</t>
  </si>
  <si>
    <t>Spectroscopy, Signal Processing</t>
  </si>
  <si>
    <t>Yes (voigt_profile)</t>
  </si>
  <si>
    <t>Convolution of Normal+Cauchy; used in spectroscopy and engineering signal analysis</t>
  </si>
  <si>
    <t>Wakeby</t>
  </si>
  <si>
    <t>Hydrology, Environmental Statistics</t>
  </si>
  <si>
    <t>Environmental/Hydrology Statistics (grad)</t>
  </si>
  <si>
    <t>Flood-frequency modeling; 5-parameter family with no simple closed-form density, defined via quantile function</t>
  </si>
  <si>
    <t>Matrix t</t>
  </si>
  <si>
    <t>Matrix-variate generalization, natural companion to Matrix Normal already in this table; grad-level</t>
  </si>
  <si>
    <t>Add</t>
  </si>
  <si>
    <t>yes</t>
  </si>
  <si>
    <t>no</t>
  </si>
  <si>
    <t>maybe</t>
  </si>
  <si>
    <t>Row Labels</t>
  </si>
  <si>
    <t>Grand Total</t>
  </si>
  <si>
    <t>Column Labels</t>
  </si>
  <si>
    <t>Count of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</si>
</sst>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CE4D6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FFFFFF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vin James Ross" refreshedDate="46230.496824652779" createdVersion="8" refreshedVersion="8" minRefreshableVersion="3" recordCount="120" xr:uid="{BFE9AE1E-FB14-4817-8196-52A65653EFD2}">
  <cacheSource type="worksheet">
    <worksheetSource ref="A1:I121" sheet="Distributions to Add"/>
  </cacheSource>
  <cacheFields count="9">
    <cacheField name="Distribution" numFmtId="0">
      <sharedItems/>
    </cacheField>
    <cacheField name="Type" numFmtId="0">
      <sharedItems count="15">
        <s v="Univariate Continuous"/>
        <s v="Multivariate"/>
        <s v="Univariate Discrete"/>
        <s v="Multivariate (matrix-valued)"/>
        <s v="Modifier (any discrete dist.)"/>
        <s v="Univariate Discrete (non-numeric outcomes)"/>
        <s v="Modifier (any distribution)"/>
        <s v="Modifier (any continuous distribution)"/>
        <s v="Univariate Discrete (combinatorial)"/>
        <s v="Univariate Continuous (bivariate construction)"/>
        <s v="Multivariate (directional)"/>
        <s v="Modifier/Feature (derived from any distribution)"/>
        <s v="Univariate Continuous (special-purpose)"/>
        <s v="Multivariate / Dependence"/>
        <s v="Univariate Continuous (class)"/>
      </sharedItems>
    </cacheField>
    <cacheField name="Field(s)" numFmtId="0">
      <sharedItems/>
    </cacheField>
    <cacheField name="Typical Course(s)" numFmtId="0">
      <sharedItems/>
    </cacheField>
    <cacheField name="Priority Tier" numFmtId="0">
      <sharedItems/>
    </cacheField>
    <cacheField name="scipy.stats Availability" numFmtId="0">
      <sharedItems/>
    </cacheField>
    <cacheField name="Symbulate Integration Effort" numFmtId="0">
      <sharedItems count="5">
        <s v="Low"/>
        <s v="Medium"/>
        <s v="Medium-High"/>
        <s v="High"/>
        <s v="Low-Medium"/>
      </sharedItems>
    </cacheField>
    <cacheField name="Notes / Rationale" numFmtId="0">
      <sharedItems/>
    </cacheField>
    <cacheField name="Add" numFmtId="0">
      <sharedItems count="3">
        <s v="yes"/>
        <s v="maybe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Weibull"/>
    <x v="0"/>
    <s v="Engineering, Actuarial, Stats"/>
    <s v="Reliability Engineering, Survival Analysis, Intro Stats"/>
    <s v="1 - Highest"/>
    <s v="Yes (weibull_min)"/>
    <x v="0"/>
    <s v="Simple 2-param wrap; standard time-to-failure distribution, huge near-universal gap"/>
    <x v="0"/>
  </r>
  <r>
    <s v="Logistic"/>
    <x v="0"/>
    <s v="Statistics, ML/Data Science"/>
    <s v="Regression, Intro Stats, ML"/>
    <s v="1 - Highest"/>
    <s v="Yes (logistic)"/>
    <x v="0"/>
    <s v="Simple wrap; underlies logistic regression"/>
    <x v="0"/>
  </r>
  <r>
    <s v="Laplace (Double Exponential)"/>
    <x v="0"/>
    <s v="Statistics, Signal Processing, Bayesian Stats"/>
    <s v="Mathematical Statistics, Bayesian Modeling"/>
    <s v="1 - Highest"/>
    <s v="Yes (laplace)"/>
    <x v="0"/>
    <s v="Simple wrap; robust error model, L1-style Bayesian priors"/>
    <x v="0"/>
  </r>
  <r>
    <s v="Gompertz"/>
    <x v="0"/>
    <s v="Actuarial Science"/>
    <s v="Life Contingencies, Survival Models"/>
    <s v="1 - Highest"/>
    <s v="Yes (gompertz)"/>
    <x v="1"/>
    <s v="scipy has it, but its (c, scale) parameterization must be translated from the actuarial (B, c) mortality convention"/>
    <x v="0"/>
  </r>
  <r>
    <s v="Makeham"/>
    <x v="0"/>
    <s v="Actuarial Science"/>
    <s v="Life Contingencies"/>
    <s v="1 - Highest"/>
    <s v="No"/>
    <x v="2"/>
    <s v="Not in scipy; needs a custom survival-function/hazard-based build (Gompertz + constant term), though the math is well-known and closed-form"/>
    <x v="0"/>
  </r>
  <r>
    <s v="De Moivre"/>
    <x v="0"/>
    <s v="Actuarial Science"/>
    <s v="Intro Life Contingencies"/>
    <s v="1 - Highest"/>
    <s v="No"/>
    <x v="0"/>
    <s v="Not in scipy, but it's literally a reparameterized Uniform, so trivial to build directly"/>
    <x v="0"/>
  </r>
  <r>
    <s v="Dirichlet"/>
    <x v="1"/>
    <s v="Statistics, Bayesian Stats, ML"/>
    <s v="Bayesian Statistics, Multivariate Stats, NLP/Topic Modeling"/>
    <s v="1 - Highest"/>
    <s v="Yes (dirichlet)"/>
    <x v="1"/>
    <s v="scipy has it, but vector-valued output needs the same joint-sampling/marginal handling work MultivariateNormal already required"/>
    <x v="0"/>
  </r>
  <r>
    <s v="Generalized Extreme Value (GEV)"/>
    <x v="0"/>
    <s v="Engineering, Actuarial, Finance/Risk"/>
    <s v="Extreme Value Theory, Hydrology, Risk Management"/>
    <s v="1 - Highest"/>
    <s v="Yes (genextreme)"/>
    <x v="0"/>
    <s v="One wrap covers Gumbel/Frechet/reverse-Weibull via the shape parameter"/>
    <x v="0"/>
  </r>
  <r>
    <s v="Noncentral t"/>
    <x v="0"/>
    <s v="Statistics"/>
    <s v="Mathematical Statistics, Power Analysis"/>
    <s v="1 - Highest"/>
    <s v="Yes (nct)"/>
    <x v="0"/>
    <s v="Direct wrap; needed for power/effect-size analysis alongside existing central t"/>
    <x v="0"/>
  </r>
  <r>
    <s v="Noncentral Chi-square"/>
    <x v="0"/>
    <s v="Statistics"/>
    <s v="Mathematical Statistics, Power Analysis"/>
    <s v="1 - Highest"/>
    <s v="Yes (ncx2)"/>
    <x v="0"/>
    <s v="Direct wrap; needed for power analysis and non-null test distributions"/>
    <x v="0"/>
  </r>
  <r>
    <s v="Noncentral F"/>
    <x v="0"/>
    <s v="Statistics"/>
    <s v="ANOVA, Power Analysis"/>
    <s v="1 - Highest"/>
    <s v="Yes (ncf)"/>
    <x v="0"/>
    <s v="Direct wrap; needed for ANOVA power analysis"/>
    <x v="0"/>
  </r>
  <r>
    <s v="Beta-Binomial"/>
    <x v="2"/>
    <s v="Statistics, Actuarial, Bayesian Stats"/>
    <s v="Bayesian Statistics, Loss Models"/>
    <s v="1 - Highest"/>
    <s v="Yes (betabinom)"/>
    <x v="0"/>
    <s v="Direct wrap; standard conjugate model for overdispersed binomial/count data"/>
    <x v="0"/>
  </r>
  <r>
    <s v="LKJ (correlation matrix prior)"/>
    <x v="3"/>
    <s v="Statistics, Bayesian Stats"/>
    <s v="Bayesian Statistics, Multivariate Bayesian Modeling"/>
    <s v="1 - Highest"/>
    <s v="No"/>
    <x v="2"/>
    <s v="The default correlation-matrix prior in modern Bayesian workflows (Stan/PyMC); arguably as important as Wishart for this audience, and neither scipy nor Symbulate has it"/>
    <x v="1"/>
  </r>
  <r>
    <s v="Generalized Pareto Distribution (GPD)"/>
    <x v="0"/>
    <s v="Actuarial, Finance/Risk, Engineering"/>
    <s v="Extreme Value Theory, Insurance Risk"/>
    <s v="2 - High"/>
    <s v="Yes (genpareto)"/>
    <x v="0"/>
    <s v="Direct wrap; peaks-over-threshold counterpart to GEV"/>
    <x v="0"/>
  </r>
  <r>
    <s v="Tweedie"/>
    <x v="0"/>
    <s v="Actuarial Science"/>
    <s v="P&amp;C Ratemaking, GLMs"/>
    <s v="2 - High"/>
    <s v="No"/>
    <x v="3"/>
    <s v="Not in scipy.stats; compound Poisson-Gamma has no simple closed-form density in general, requires custom simulation and density approximation"/>
    <x v="2"/>
  </r>
  <r>
    <s v="Burr (Burr XII)"/>
    <x v="0"/>
    <s v="Actuarial Science, Economics"/>
    <s v="Loss Models (SOA curriculum)"/>
    <s v="2 - High"/>
    <s v="Yes (burr12)"/>
    <x v="0"/>
    <s v="Direct wrap; standard heavy-tailed severity distribution in Klugman's Loss Models"/>
    <x v="0"/>
  </r>
  <r>
    <s v="Lomax (Pareto Type II)"/>
    <x v="0"/>
    <s v="Actuarial Science, Economics"/>
    <s v="Loss Models, Income Distributions"/>
    <s v="2 - High"/>
    <s v="Yes (lomax)"/>
    <x v="0"/>
    <s v="Direct wrap; common claim-severity distribution"/>
    <x v="0"/>
  </r>
  <r>
    <s v="Inverse Gamma"/>
    <x v="0"/>
    <s v="Statistics, Bayesian Stats"/>
    <s v="Bayesian Statistics"/>
    <s v="2 - High"/>
    <s v="Yes (invgamma)"/>
    <x v="0"/>
    <s v="Direct wrap; standard conjugate prior for variance parameters"/>
    <x v="0"/>
  </r>
  <r>
    <s v="Half-Normal"/>
    <x v="0"/>
    <s v="Statistics, Bayesian Stats"/>
    <s v="Bayesian Statistics"/>
    <s v="2 - High"/>
    <s v="Yes (halfnorm)"/>
    <x v="0"/>
    <s v="Direct wrap; common weakly-informative prior (Stan/PyMC defaults)"/>
    <x v="0"/>
  </r>
  <r>
    <s v="Half-Cauchy"/>
    <x v="0"/>
    <s v="Statistics, Bayesian Stats"/>
    <s v="Bayesian Statistics"/>
    <s v="2 - High"/>
    <s v="Yes (halfcauchy)"/>
    <x v="0"/>
    <s v="Direct wrap; common weakly-informative prior for scale parameters"/>
    <x v="0"/>
  </r>
  <r>
    <s v="Multivariate t (Student)"/>
    <x v="1"/>
    <s v="Statistics, Finance"/>
    <s v="Multivariate Statistics, Robust Regression, Finance"/>
    <s v="2 - High"/>
    <s v="Yes (multivariate_t)"/>
    <x v="1"/>
    <s v="scipy has it, but vector-valued output needs the same handling MultivariateNormal already required"/>
    <x v="0"/>
  </r>
  <r>
    <s v="Wishart"/>
    <x v="1"/>
    <s v="Statistics, Bayesian Stats"/>
    <s v="Multivariate Bayesian Statistics"/>
    <s v="2 - High"/>
    <s v="Yes (wishart)"/>
    <x v="2"/>
    <s v="scipy has it, but draws are entire matrices, not vectors — Symbulate has no existing precedent for plotting/summarizing matrix-valued draws"/>
    <x v="0"/>
  </r>
  <r>
    <s v="Inverse Wishart"/>
    <x v="1"/>
    <s v="Statistics, Bayesian Stats"/>
    <s v="Multivariate Bayesian Statistics"/>
    <s v="2 - High"/>
    <s v="Yes (invwishart)"/>
    <x v="2"/>
    <s v="Same matrix-output handling challenge as Wishart"/>
    <x v="0"/>
  </r>
  <r>
    <s v="Gumbel (Extreme Value Type I)"/>
    <x v="0"/>
    <s v="Engineering, Finance, ML"/>
    <s v="Hydrology, Risk Management, ML (Gumbel-softmax)"/>
    <s v="2 - High"/>
    <s v="Yes (gumbel_r / gumbel_l)"/>
    <x v="0"/>
    <s v="Direct wrap; still taught by name even where GEV is available"/>
    <x v="0"/>
  </r>
  <r>
    <s v="Zipf"/>
    <x v="2"/>
    <s v="Statistics, Linguistics, CS"/>
    <s v="Intro Stats/CS Crossover, Power-Law Phenomena"/>
    <s v="2 - High"/>
    <s v="Yes (zipfian / zipf)"/>
    <x v="0"/>
    <s v="Direct wrap; standard example of heavy-tailed/power-law discrete behavior"/>
    <x v="0"/>
  </r>
  <r>
    <s v="Generic Truncation/Zero-Modification Wrapper"/>
    <x v="4"/>
    <s v="Actuarial Science"/>
    <s v="Loss Models (SOA curriculum)"/>
    <s v="2 - High"/>
    <s v="No (architectural feature, not a distribution)"/>
    <x v="2"/>
    <s v="Needs to operate generically over any existing discrete distribution (Poisson, Binomial, NegBinomial, Geometric) rather than being one class; a design decision, not a wrap"/>
    <x v="2"/>
  </r>
  <r>
    <s v="Beta-Pascal / Beta-Negative Binomial"/>
    <x v="2"/>
    <s v="Actuarial Science, Statistics"/>
    <s v="Bayesian Statistics, Loss Models"/>
    <s v="2 - High"/>
    <s v="Yes (betanbinom)"/>
    <x v="0"/>
    <s v="Overdispersed negative-binomial counterpart to Beta-Binomial (already in this table); direct wrap"/>
    <x v="0"/>
  </r>
  <r>
    <s v="Kumaraswamy"/>
    <x v="0"/>
    <s v="Statistics, Engineering"/>
    <s v="Applied Statistics, Simulation"/>
    <s v="2 - High"/>
    <s v="No"/>
    <x v="0"/>
    <s v="Beta look-alike with simple closed-form CDF/quantile; genuinely useful and easy to implement even without scipy backing"/>
    <x v="0"/>
  </r>
  <r>
    <s v="PERT"/>
    <x v="0"/>
    <s v="Project Management, Risk Analysis, Statistics"/>
    <s v="Simulation, Risk Analysis, PERT Estimation"/>
    <s v="2 - High"/>
    <s v="No"/>
    <x v="4"/>
    <s v="Special case of 4-parameter Beta; pairs directly with Triangular already in this table"/>
    <x v="1"/>
  </r>
  <r>
    <s v="Bates"/>
    <x v="0"/>
    <s v="Statistics, Simulation"/>
    <s v="Simulation, Intro Statistics (CLT teaching)"/>
    <s v="2 - High"/>
    <s v="No"/>
    <x v="0"/>
    <s v="Mean of n uniforms; companion to Irwin-Hall (sum vs. mean), useful CLT teaching pair"/>
    <x v="0"/>
  </r>
  <r>
    <s v="Irwin–Hall"/>
    <x v="0"/>
    <s v="Statistics, Simulation"/>
    <s v="Simulation, Intro Statistics (CLT teaching)"/>
    <s v="2 - High"/>
    <s v="Yes (irwinhall)"/>
    <x v="0"/>
    <s v="Sum of n iid uniforms; should have been in the original table — genuine omission, not a low-priority call"/>
    <x v="0"/>
  </r>
  <r>
    <s v="Hyperexponential"/>
    <x v="0"/>
    <s v="Engineering, Operations Research"/>
    <s v="Queueing Theory, Reliability Engineering"/>
    <s v="2 - High"/>
    <s v="No"/>
    <x v="1"/>
    <s v="Staple of queueing theory; models 'fast or slow' service-time heterogeneity via a mixture of exponentials"/>
    <x v="1"/>
  </r>
  <r>
    <s v="Hypoexponential"/>
    <x v="0"/>
    <s v="Engineering, Operations Research"/>
    <s v="Queueing Theory, Reliability Engineering"/>
    <s v="2 - High"/>
    <s v="No"/>
    <x v="1"/>
    <s v="Companion to Hyperexponential; models multi-stage service/failure processes as a sum of exponentials with distinct rates"/>
    <x v="1"/>
  </r>
  <r>
    <s v="Log-Gamma"/>
    <x v="0"/>
    <s v="Actuarial Science, Statistics"/>
    <s v="Loss Models, Extreme Value Theory"/>
    <s v="2 - High"/>
    <s v="Yes (loggamma)"/>
    <x v="0"/>
    <s v="Mentioned in an earlier discussion of actuarial additions but never actually added — genuine omission being corrected here"/>
    <x v="0"/>
  </r>
  <r>
    <s v="Truncated Normal"/>
    <x v="0"/>
    <s v="Statistics, Engineering, Bayesian Stats"/>
    <s v="Applied Statistics, Bayesian Statistics"/>
    <s v="2 - High"/>
    <s v="Yes (truncnorm)"/>
    <x v="1"/>
    <s v="Extremely common in practice; also shows the existing discrete-only truncation wrapper needs a continuous counterpart"/>
    <x v="0"/>
  </r>
  <r>
    <s v="Scaled/Inverse Chi-Squared"/>
    <x v="0"/>
    <s v="Statistics, Bayesian Stats"/>
    <s v="Bayesian Statistics"/>
    <s v="2 - High"/>
    <s v="Yes (reparameterization of invgamma)"/>
    <x v="0"/>
    <s v="Extremely common naming convention in Bayesian textbooks (e.g., Gelman et al.); worth a named alias even though mathematically = Inverse Gamma"/>
    <x v="0"/>
  </r>
  <r>
    <s v="Gamma/Gompertz"/>
    <x v="0"/>
    <s v="Actuarial Science"/>
    <s v="Life Contingencies, Survival Models"/>
    <s v="2 - High"/>
    <s v="No"/>
    <x v="1"/>
    <s v="Gompertz mortality with Gamma frailty (population heterogeneity); natural extension once Gompertz/Makeham exist"/>
    <x v="1"/>
  </r>
  <r>
    <s v="Exponentially Modified Gaussian"/>
    <x v="0"/>
    <s v="Statistics, Psychology, Chemistry"/>
    <s v="Applied Statistics, Psychometrics"/>
    <s v="2 - High"/>
    <s v="Yes (exponnorm)"/>
    <x v="0"/>
    <s v="Real applied use in chromatography and reaction-time modeling in psychology — broader audience than most lower-tier items"/>
    <x v="0"/>
  </r>
  <r>
    <s v="Skew t"/>
    <x v="0"/>
    <s v="Finance, Statistics"/>
    <s v="Robust Statistics, Quantitative Finance"/>
    <s v="2 - High"/>
    <s v="No"/>
    <x v="2"/>
    <s v="Natural extension of Skew-Normal already in this table; notable in finance/robust modeling"/>
    <x v="0"/>
  </r>
  <r>
    <s v="Reciprocal / Log-Uniform"/>
    <x v="0"/>
    <s v="Statistics, ML, Engineering"/>
    <s v="Applied Statistics, ML Hyperparameter Search"/>
    <s v="2 - High"/>
    <s v="Yes (loguniform / reciprocal)"/>
    <x v="0"/>
    <s v="Mentioned in the very first response of this conversation and never actually added to the table — genuine omission being corrected here; also widely used for ML hyperparameter search ranges"/>
    <x v="0"/>
  </r>
  <r>
    <s v="Hotelling's T-squared"/>
    <x v="1"/>
    <s v="Statistics"/>
    <s v="Multivariate Statistics"/>
    <s v="2 - High"/>
    <s v="No"/>
    <x v="1"/>
    <s v="Multivariate generalization of t²; pairs directly with Multivariate t already in this table, core topic in multivariate stats courses"/>
    <x v="0"/>
  </r>
  <r>
    <s v="Categorical (formal Distribution-API version)"/>
    <x v="5"/>
    <s v="Statistics, ML"/>
    <s v="Intro Probability, ML"/>
    <s v="2 - High"/>
    <s v="No (not a scipy concept)"/>
    <x v="1"/>
    <s v="Directly closes the gap identified in the BoxModel vs. Empirical discussion — would give BoxModel-style non-numeric outcomes the same pmf/mode/plot access Empirical gives integer outcomes"/>
    <x v="1"/>
  </r>
  <r>
    <s v="General Mixture-Distribution Builder"/>
    <x v="6"/>
    <s v="Statistics, Bayesian Stats"/>
    <s v="Applied Statistics, Bayesian Statistics"/>
    <s v="2 - High"/>
    <s v="Partial (component distributions exist; no generic container)"/>
    <x v="2"/>
    <s v="Generic weighted-combination wrapper over any existing distributions; would also directly enable Hyperexponential as a special case"/>
    <x v="2"/>
  </r>
  <r>
    <s v="Continuous Truncation Wrapper"/>
    <x v="7"/>
    <s v="Statistics, Engineering"/>
    <s v="Applied Statistics, Bayesian Statistics"/>
    <s v="2 - High"/>
    <s v="Partial (truncnorm exists as one instance; no generic wrapper)"/>
    <x v="1"/>
    <s v="Continuous counterpart to the existing discrete truncation/zero-modification wrapper already in this table"/>
    <x v="2"/>
  </r>
  <r>
    <s v="Negative Hypergeometric"/>
    <x v="2"/>
    <s v="Statistics, Probability"/>
    <s v="Probability Theory"/>
    <s v="3 - Medium"/>
    <s v="Yes (nhypergeom)"/>
    <x v="0"/>
    <s v="Direct wrap; natural counterpart to existing Hypergeometric"/>
    <x v="0"/>
  </r>
  <r>
    <s v="Multivariate Hypergeometric"/>
    <x v="1"/>
    <s v="Statistics, Probability"/>
    <s v="Probability Theory"/>
    <s v="3 - Medium"/>
    <s v="Yes (multivariate_hypergeom)"/>
    <x v="1"/>
    <s v="scipy has it, but needs the same vector-output handling as other multivariate additions"/>
    <x v="0"/>
  </r>
  <r>
    <s v="Triangular"/>
    <x v="0"/>
    <s v="Simulation, Risk Modeling, Project Management"/>
    <s v="Simulation, Risk Analysis, PERT Estimation"/>
    <s v="3 - Medium"/>
    <s v="Yes (triang)"/>
    <x v="0"/>
    <s v="Direct wrap; common first hand-built distribution in simulation/risk modeling"/>
    <x v="0"/>
  </r>
  <r>
    <s v="Skew-Normal"/>
    <x v="0"/>
    <s v="Statistics, Finance, Engineering"/>
    <s v="Applied Statistics"/>
    <s v="3 - Medium"/>
    <s v="Yes (skewnorm)"/>
    <x v="0"/>
    <s v="Direct wrap; flexible skewed generalization of Normal"/>
    <x v="0"/>
  </r>
  <r>
    <s v="Inverse Gaussian (Wald)"/>
    <x v="0"/>
    <s v="Statistics, Engineering"/>
    <s v="Applied Statistics, Reliability"/>
    <s v="3 - Medium"/>
    <s v="Yes (invgauss / wald)"/>
    <x v="0"/>
    <s v="Direct wrap; first-passage-time distribution"/>
    <x v="0"/>
  </r>
  <r>
    <s v="Birnbaum-Saunders (Fatigue Life)"/>
    <x v="0"/>
    <s v="Engineering"/>
    <s v="Reliability Engineering, Fatigue Analysis"/>
    <s v="3 - Medium"/>
    <s v="Yes (fatiguelife)"/>
    <x v="0"/>
    <s v="Direct wrap; standard fatigue-life model in engineering reliability"/>
    <x v="0"/>
  </r>
  <r>
    <s v="Generalized Gamma"/>
    <x v="0"/>
    <s v="Statistics, Engineering"/>
    <s v="Reliability, Survival Analysis"/>
    <s v="3 - Medium"/>
    <s v="Yes (gengamma)"/>
    <x v="4"/>
    <s v="scipy has it, but mapping parameters across its Gamma/Weibull/Exponential special cases needs care to present clearly to students"/>
    <x v="2"/>
  </r>
  <r>
    <s v="Erlang"/>
    <x v="0"/>
    <s v="Engineering, Operations Research"/>
    <s v="Queueing Theory"/>
    <s v="3 - Medium"/>
    <s v="Yes (erlang)"/>
    <x v="0"/>
    <s v="Direct wrap; Gamma with integer shape, taught by name constantly in queueing theory"/>
    <x v="0"/>
  </r>
  <r>
    <s v="Rice / Rician"/>
    <x v="0"/>
    <s v="Engineering"/>
    <s v="Signal Processing, Communications"/>
    <s v="3 - Medium"/>
    <s v="Yes (rice)"/>
    <x v="0"/>
    <s v="Direct wrap; standard model for signal fading in communications engineering"/>
    <x v="0"/>
  </r>
  <r>
    <s v="Skellam"/>
    <x v="2"/>
    <s v="Statistics, Sports Analytics"/>
    <s v="Applied Statistics"/>
    <s v="3 - Medium"/>
    <s v="Yes (skellam)"/>
    <x v="0"/>
    <s v="Direct wrap; difference of two Poissons"/>
    <x v="0"/>
  </r>
  <r>
    <s v="Fréchet (Extreme Value Type II)"/>
    <x v="0"/>
    <s v="Finance, Engineering"/>
    <s v="Extreme Value Theory"/>
    <s v="3 - Medium"/>
    <s v="Yes (invweibull)"/>
    <x v="0"/>
    <s v="Direct wrap, though scipy's naming is a trap: it's called invweibull, not frechet (the old frechet_r/l names were deprecated)"/>
    <x v="0"/>
  </r>
  <r>
    <s v="Log-Logistic (Fisk)"/>
    <x v="0"/>
    <s v="Actuarial Science, Economics"/>
    <s v="Survival Analysis, Loss Models"/>
    <s v="3 - Medium"/>
    <s v="Yes (fisk)"/>
    <x v="0"/>
    <s v="Direct wrap; survival-analysis alternative to Weibull"/>
    <x v="0"/>
  </r>
  <r>
    <s v="Benford's Law"/>
    <x v="2"/>
    <s v="Statistics, Forensic Accounting, Data Science"/>
    <s v="Intro Stats, Forensic Accounting, Data Science Electives"/>
    <s v="3 - Medium"/>
    <s v="No"/>
    <x v="0"/>
    <s v="Classic fraud-detection/applied-stats teaching example; simple closed-form pmf P(d)=log10(1+1/d)"/>
    <x v="0"/>
  </r>
  <r>
    <s v="Poisson Binomial"/>
    <x v="2"/>
    <s v="Statistics, Data Science"/>
    <s v="Applied Statistics, Survey Sampling"/>
    <s v="3 - Medium"/>
    <s v="No"/>
    <x v="1"/>
    <s v="Sum of independent non-identical Bernoullis; pmf needs convolution/recursive algorithm, not simply closed-form"/>
    <x v="2"/>
  </r>
  <r>
    <s v="Zeta"/>
    <x v="2"/>
    <s v="Statistics, Number Theory"/>
    <s v="Applied Statistics, Power-Law Phenomena"/>
    <s v="3 - Medium"/>
    <s v="Yes (zipf)"/>
    <x v="0"/>
    <s v="Infinite-support limiting case of Zipf; scipy's naming is a trap (zipf=zeta, zipfian=finite Zipf) worth flagging directly"/>
    <x v="0"/>
  </r>
  <r>
    <s v="Noncentral Hypergeometric (Fisher's / Wallenius')"/>
    <x v="2"/>
    <s v="Statistics, Genetics, Ecology"/>
    <s v="Applied Statistics, Biostatistics"/>
    <s v="3 - Medium"/>
    <s v="Yes (nchypergeom_fisher, nchypergeom_wallenius)"/>
    <x v="4"/>
    <s v="Models biased sampling without replacement; two related variants, some explanation needed to distinguish them"/>
    <x v="2"/>
  </r>
  <r>
    <s v="Negative Multinomial"/>
    <x v="1"/>
    <s v="Statistics"/>
    <s v="Multivariate Statistics"/>
    <s v="3 - Medium"/>
    <s v="No"/>
    <x v="1"/>
    <s v="Multivariate generalization of Negative Binomial, the way Multinomial generalizes Binomial"/>
    <x v="0"/>
  </r>
  <r>
    <s v="Degenerate / Point-Mass"/>
    <x v="2"/>
    <s v="Probability Theory"/>
    <s v="Intro Probability"/>
    <s v="3 - Medium"/>
    <s v="No"/>
    <x v="0"/>
    <s v="Trivial constant-outcome distribution; useful building block for mixtures and edge-case teaching"/>
    <x v="0"/>
  </r>
  <r>
    <s v="Birthday Distribution"/>
    <x v="8"/>
    <s v="Probability Theory"/>
    <s v="Intro Probability, Combinatorics"/>
    <s v="3 - Medium"/>
    <s v="No"/>
    <x v="1"/>
    <s v="Classic 'birthday problem' teaching distribution; likely more valuable as a worked example than a formal class"/>
    <x v="2"/>
  </r>
  <r>
    <s v="Coupon Collector Distribution"/>
    <x v="8"/>
    <s v="Probability Theory"/>
    <s v="Intro Probability, Combinatorics"/>
    <s v="3 - Medium"/>
    <s v="No"/>
    <x v="1"/>
    <s v="Classic combinatorial waiting-time problem; pairs pedagogically with Birthday Distribution"/>
    <x v="2"/>
  </r>
  <r>
    <s v="Arcsine"/>
    <x v="0"/>
    <s v="Statistics, Probability Theory"/>
    <s v="Probability Theory, Random Walks"/>
    <s v="3 - Medium"/>
    <s v="Yes (arcsine)"/>
    <x v="0"/>
    <s v="Beta(1/2,1/2) special case; appears in random walk / order statistics theory"/>
    <x v="0"/>
  </r>
  <r>
    <s v="Chi"/>
    <x v="0"/>
    <s v="Statistics, Engineering"/>
    <s v="Mathematical Statistics"/>
    <s v="3 - Medium"/>
    <s v="Yes (chi)"/>
    <x v="0"/>
    <s v="Square root of Chi-square; parent distribution of Rayleigh and Maxwell-Boltzmann"/>
    <x v="0"/>
  </r>
  <r>
    <s v="Noncentral Beta"/>
    <x v="0"/>
    <s v="Statistics"/>
    <s v="Power Analysis (R²/partial correlation tests)"/>
    <s v="3 - Medium"/>
    <s v="No"/>
    <x v="2"/>
    <s v="Confirmed absent from scipy; used in power analysis for R² and partial-correlation tests"/>
    <x v="1"/>
  </r>
  <r>
    <s v="Exponential Power / Generalized Normal"/>
    <x v="0"/>
    <s v="Statistics, Signal Processing"/>
    <s v="Applied Statistics"/>
    <s v="3 - Medium"/>
    <s v="Yes (exponpow, gennorm)"/>
    <x v="0"/>
    <s v="Unifies Normal/Laplace/Uniform-like tail behavior via one shape parameter"/>
    <x v="0"/>
  </r>
  <r>
    <s v="Beta Prime / Inverted Beta"/>
    <x v="0"/>
    <s v="Statistics"/>
    <s v="Mathematical Statistics, Bayesian Statistics"/>
    <s v="3 - Medium"/>
    <s v="Yes (betaprime)"/>
    <x v="0"/>
    <s v="Related to F-distribution; used in Bayesian variance modeling"/>
    <x v="0"/>
  </r>
  <r>
    <s v="Power / Power-Function"/>
    <x v="0"/>
    <s v="Statistics, Reliability"/>
    <s v="Applied Statistics"/>
    <s v="3 - Medium"/>
    <s v="Yes (powerlaw)"/>
    <x v="0"/>
    <s v="Beta(a,1) special case; simple but distinct named distribution worth surfacing directly"/>
    <x v="0"/>
  </r>
  <r>
    <s v="Two-Sided Power (TSP)"/>
    <x v="0"/>
    <s v="Statistics, Simulation"/>
    <s v="Simulation, Risk Analysis"/>
    <s v="3 - Medium"/>
    <s v="No"/>
    <x v="1"/>
    <s v="Generalizes Triangular the way GEV generalizes Gumbel; natural extension once Triangular exists"/>
    <x v="1"/>
  </r>
  <r>
    <s v="Generalized Beta of the Second Kind (GB2)"/>
    <x v="0"/>
    <s v="Actuarial Science, Economics"/>
    <s v="Loss Models, Income Distribution Modeling (grad)"/>
    <s v="3 - Medium"/>
    <s v="No"/>
    <x v="2"/>
    <s v="4-parameter umbrella family over Burr/Singh-Maddala/Lomax already in this table"/>
    <x v="2"/>
  </r>
  <r>
    <s v="Dagum"/>
    <x v="0"/>
    <s v="Actuarial Science, Economics"/>
    <s v="Income Distribution Modeling, Loss Models"/>
    <s v="3 - Medium"/>
    <s v="No"/>
    <x v="1"/>
    <s v="Income-distribution family sitting alongside Burr/Singh-Maddala already in this table"/>
    <x v="1"/>
  </r>
  <r>
    <s v="Folded-Normal"/>
    <x v="0"/>
    <s v="Statistics, Engineering"/>
    <s v="Applied Statistics"/>
    <s v="3 - Medium"/>
    <s v="Yes (foldnorm)"/>
    <x v="0"/>
    <s v="|X| where X~Normal(μ,σ) with μ≠0; distinct from Half-Normal already in this table, which assumes μ=0"/>
    <x v="0"/>
  </r>
  <r>
    <s v="Maxwell-Boltzmann"/>
    <x v="0"/>
    <s v="Physics, Engineering"/>
    <s v="Statistical Mechanics, Physics-Stats Crossover"/>
    <s v="3 - Medium"/>
    <s v="Yes (maxwell)"/>
    <x v="0"/>
    <s v="Classic physics speed distribution; special case of Chi with 3 degrees of freedom"/>
    <x v="0"/>
  </r>
  <r>
    <s v="Wigner Semicircle"/>
    <x v="0"/>
    <s v="Statistics, Physics"/>
    <s v="Random Matrix Theory (grad)"/>
    <s v="3 - Medium"/>
    <s v="Yes (semicircular)"/>
    <x v="0"/>
    <s v="Foundational random matrix theory result; notable for grad-level probability"/>
    <x v="0"/>
  </r>
  <r>
    <s v="Trapezoidal"/>
    <x v="0"/>
    <s v="Statistics, Simulation"/>
    <s v="Simulation, Risk Analysis"/>
    <s v="3 - Medium"/>
    <s v="Yes (trapezoid)"/>
    <x v="0"/>
    <s v="Generalizes Triangular/Uniform; common in simulation modeling"/>
    <x v="0"/>
  </r>
  <r>
    <s v="Generalized Logistic"/>
    <x v="0"/>
    <s v="Statistics"/>
    <s v="Applied Statistics, Extreme Value Theory"/>
    <s v="3 - Medium"/>
    <s v="Yes (genlogistic)"/>
    <x v="0"/>
    <s v="Skewed generalization of Logistic already in this table"/>
    <x v="0"/>
  </r>
  <r>
    <s v="Marshall–Olkin Exponential"/>
    <x v="9"/>
    <s v="Engineering, Reliability"/>
    <s v="Reliability Engineering (grad)"/>
    <s v="3 - Medium"/>
    <s v="No"/>
    <x v="2"/>
    <s v="Models dependent component failure times via a shock-model construction; notable in reliability engineering"/>
    <x v="1"/>
  </r>
  <r>
    <s v="Continuous Bernoulli"/>
    <x v="0"/>
    <s v="Machine Learning, Statistics"/>
    <s v="ML/Data Science"/>
    <s v="3 - Medium"/>
    <s v="No"/>
    <x v="4"/>
    <s v="Modern ML use (VAE probabilistic pixel outputs); relevant for ML-adjacent stats courses"/>
    <x v="1"/>
  </r>
  <r>
    <s v="Logit-Normal"/>
    <x v="0"/>
    <s v="Statistics, Bayesian Stats, ML"/>
    <s v="Bayesian Statistics, ML"/>
    <s v="3 - Medium"/>
    <s v="No"/>
    <x v="4"/>
    <s v="Common for modeling probabilities in Bayesian/ML contexts"/>
    <x v="1"/>
  </r>
  <r>
    <s v="von Mises–Fisher"/>
    <x v="10"/>
    <s v="Statistics, Engineering"/>
    <s v="Directional/Circular Statistics (grad)"/>
    <s v="3 - Medium"/>
    <s v="Yes (vonmises_fisher)"/>
    <x v="1"/>
    <s v="Spherical generalization of Von Mises already in this table, to higher dimensions"/>
    <x v="2"/>
  </r>
  <r>
    <s v="Order Statistics / Finite Order Statistic"/>
    <x v="11"/>
    <s v="Statistics"/>
    <s v="Mathematical Statistics"/>
    <s v="3 - Medium"/>
    <s v="No (not a distribution per se)"/>
    <x v="4"/>
    <s v="Distribution of the k-th order statistic of n iid draws; likely already achievable via existing RV transformations in Symbulate — worth confirming before building anything new"/>
    <x v="2"/>
  </r>
  <r>
    <s v="Test-Statistic Sampling Distributions (KS, Kolmogorov, Anderson-Darling)"/>
    <x v="12"/>
    <s v="Statistics"/>
    <s v="Mathematical Statistics, Goodness-of-Fit Testing"/>
    <s v="3 - Medium"/>
    <s v="Yes (ksone, kstwobign, kstwo, anderson)"/>
    <x v="0"/>
    <s v="A different category from modeling distributions — these are sampling distributions of goodness-of-fit test statistics; direct scipy wraps"/>
    <x v="0"/>
  </r>
  <r>
    <s v="Von Mises"/>
    <x v="0"/>
    <s v="Statistics, Engineering"/>
    <s v="Directional/Circular Statistics"/>
    <s v="4 - Lower"/>
    <s v="Yes (vonmises / vonmises_line)"/>
    <x v="4"/>
    <s v="scipy has it, but circular support (wraparound at 2π) needs care in plotting/spinner display, which assume linear support"/>
    <x v="1"/>
  </r>
  <r>
    <s v="Nakagami"/>
    <x v="0"/>
    <s v="Engineering"/>
    <s v="Wireless Signal Modeling"/>
    <s v="4 - Lower"/>
    <s v="Yes (nakagami)"/>
    <x v="0"/>
    <s v="Direct wrap; domain-specific to wireless/physics applications"/>
    <x v="0"/>
  </r>
  <r>
    <s v="Lévy"/>
    <x v="0"/>
    <s v="Physics, Finance"/>
    <s v="Stochastic Processes"/>
    <s v="4 - Lower"/>
    <s v="Yes (levy / levy_l)"/>
    <x v="0"/>
    <s v="Direct wrap; special case of stable distributions"/>
    <x v="0"/>
  </r>
  <r>
    <s v="Conway-Maxwell-Poisson"/>
    <x v="2"/>
    <s v="Statistics"/>
    <s v="Advanced Count-Data Modeling"/>
    <s v="4 - Lower"/>
    <s v="No"/>
    <x v="3"/>
    <s v="Not in scipy; normalizing constant has no closed form and requires numerical summation, complicating both pmf evaluation and sampling"/>
    <x v="2"/>
  </r>
  <r>
    <s v="Yule-Simon"/>
    <x v="2"/>
    <s v="Statistics, Network Science"/>
    <s v="Advanced Count-Data Modeling"/>
    <s v="4 - Lower"/>
    <s v="Yes (yulesimon)"/>
    <x v="0"/>
    <s v="Direct wrap; power-law discrete model"/>
    <x v="0"/>
  </r>
  <r>
    <s v="Discrete Weibull"/>
    <x v="2"/>
    <s v="Statistics, Engineering"/>
    <s v="Advanced Reliability"/>
    <s v="4 - Lower"/>
    <s v="No"/>
    <x v="2"/>
    <s v="NOT in scipy despite appearances: scipy.stats.dweibull is the continuous 'double Weibull,' not the discrete Weibull — a naming trap worth flagging for whoever implements this; needs a fully custom pmf/cdf"/>
    <x v="2"/>
  </r>
  <r>
    <s v="Logarithmic (Log-Series)"/>
    <x v="2"/>
    <s v="Statistics, Ecology"/>
    <s v="Advanced Count-Data Modeling"/>
    <s v="4 - Lower"/>
    <s v="Yes (logser)"/>
    <x v="0"/>
    <s v="Direct wrap; specialized count model, occasionally in ecology/biostatistics"/>
    <x v="0"/>
  </r>
  <r>
    <s v="Variance-Gamma"/>
    <x v="0"/>
    <s v="Finance"/>
    <s v="Quantitative Finance (grad)"/>
    <s v="4 - Lower"/>
    <s v="No"/>
    <x v="3"/>
    <s v="Not in scipy; density involves a modified Bessel function with no simple closed form, and no ready sampling routine"/>
    <x v="2"/>
  </r>
  <r>
    <s v="Normal-Inverse Gaussian (NIG)"/>
    <x v="0"/>
    <s v="Finance"/>
    <s v="Quantitative Finance (grad)"/>
    <s v="4 - Lower"/>
    <s v="Yes (norminvgauss)"/>
    <x v="4"/>
    <s v="scipy has it, but it's a 4-parameter family that takes care to present intuitively to students"/>
    <x v="2"/>
  </r>
  <r>
    <s v="Stable (Lévy-stable)"/>
    <x v="0"/>
    <s v="Finance, Statistics"/>
    <s v="Quantitative Finance, Probability Theory (grad)"/>
    <s v="4 - Lower"/>
    <s v="Yes (levy_stable)"/>
    <x v="2"/>
    <s v="scipy has it, but its own docs note the general (non-special-case) implementation is numerically delicate and slow"/>
    <x v="2"/>
  </r>
  <r>
    <s v="Generalized Hyperbolic"/>
    <x v="0"/>
    <s v="Finance"/>
    <s v="Quantitative Finance (grad)"/>
    <s v="4 - Lower"/>
    <s v="Yes (genhyperbolic)"/>
    <x v="1"/>
    <s v="scipy has it, but many parameters and subtle special-case relationships to Variance-Gamma/NIG need careful explanation for students"/>
    <x v="2"/>
  </r>
  <r>
    <s v="Johnson SU / SB"/>
    <x v="0"/>
    <s v="Finance, Engineering"/>
    <s v="Applied Statistics, Distribution Fitting"/>
    <s v="4 - Lower"/>
    <s v="Yes (johnsonsu, johnsonsb)"/>
    <x v="0"/>
    <s v="Direct wrap; flexible skew/kurtosis family for fitting non-normal data"/>
    <x v="0"/>
  </r>
  <r>
    <s v="Gaussian Copula"/>
    <x v="13"/>
    <s v="Finance, Statistics"/>
    <s v="Risk Management, Quantitative Finance (grad)"/>
    <s v="4 - Lower"/>
    <s v="No"/>
    <x v="3"/>
    <s v="No copula support anywhere in scipy.stats; requires building joint-CDF construction via a correlation matrix plus marginal transforms from scratch"/>
    <x v="2"/>
  </r>
  <r>
    <s v="t-Copula"/>
    <x v="13"/>
    <s v="Finance"/>
    <s v="Quantitative Finance (grad)"/>
    <s v="4 - Lower"/>
    <s v="No"/>
    <x v="3"/>
    <s v="Same gap as Gaussian Copula, plus needs multivariate-t machinery underneath"/>
    <x v="2"/>
  </r>
  <r>
    <s v="Matrix Normal"/>
    <x v="1"/>
    <s v="Statistics"/>
    <s v="Advanced Multivariate Statistics (grad)"/>
    <s v="4 - Lower"/>
    <s v="Yes (matrix_normal)"/>
    <x v="2"/>
    <s v="scipy has it, but matrix-valued output has the same display/summary challenge as Wishart"/>
    <x v="0"/>
  </r>
  <r>
    <s v="Phase-Type Distributions"/>
    <x v="14"/>
    <s v="Actuarial Science, Operations Research"/>
    <s v="Ruin Theory, Queueing Theory (grad)"/>
    <s v="4 - Lower"/>
    <s v="No"/>
    <x v="3"/>
    <s v="Not in scipy; requires building general sub-generator-matrix machinery from scratch, a substantial standalone project"/>
    <x v="2"/>
  </r>
  <r>
    <s v="Singh-Maddala"/>
    <x v="0"/>
    <s v="Economics, Actuarial Science"/>
    <s v="Income Distribution Modeling"/>
    <s v="4 - Lower"/>
    <s v="Yes (via burr12 reparameterization)"/>
    <x v="4"/>
    <s v="Not a distinct scipy distribution, but a direct reparameterization of Burr XII, so implementation is mostly a relabeling exercise"/>
    <x v="1"/>
  </r>
  <r>
    <s v="Champernowne"/>
    <x v="0"/>
    <s v="Economics"/>
    <s v="Income Distribution Modeling (elective)"/>
    <s v="4 - Lower"/>
    <s v="No"/>
    <x v="1"/>
    <s v="Not in scipy, but has a known closed-form CDF, so custom implementation is straightforward even though not a wrap"/>
    <x v="2"/>
  </r>
  <r>
    <s v="Rademacher"/>
    <x v="2"/>
    <s v="Probability Theory, Statistics"/>
    <s v="Intro Probability"/>
    <s v="4 - Lower"/>
    <s v="No"/>
    <x v="0"/>
    <s v="Trivial variant of Bernoulli (±1, p=.5); useful in random-sign/Monte Carlo contexts"/>
    <x v="0"/>
  </r>
  <r>
    <s v="Zipf-Mandelbrot"/>
    <x v="2"/>
    <s v="Statistics, Linguistics, Information Theory"/>
    <s v="Applied Statistics, NLP"/>
    <s v="4 - Lower"/>
    <s v="No"/>
    <x v="1"/>
    <s v="Generalizes Zipf with an added parameter; needs custom normalizing-constant computation"/>
    <x v="1"/>
  </r>
  <r>
    <s v="Discrete ArcSine"/>
    <x v="2"/>
    <s v="Probability Theory"/>
    <s v="Random Walks, Stochastic Processes"/>
    <s v="4 - Lower"/>
    <s v="No"/>
    <x v="1"/>
    <s v="Discrete counterpart to continuous Arcsine; pmf derived from random-walk sign-change theory"/>
    <x v="2"/>
  </r>
  <r>
    <s v="Boltzmann"/>
    <x v="2"/>
    <s v="Physics, Statistics"/>
    <s v="Statistical Mechanics, Physics-Stats Crossover"/>
    <s v="4 - Lower"/>
    <s v="No"/>
    <x v="0"/>
    <s v="Statistical-physics distribution over discrete energy levels"/>
    <x v="0"/>
  </r>
  <r>
    <s v="Borel"/>
    <x v="2"/>
    <s v="Probability Theory, Operations Research"/>
    <s v="Branching Processes, Queueing Theory (grad)"/>
    <s v="4 - Lower"/>
    <s v="No"/>
    <x v="1"/>
    <s v="Arises from branching processes and busy-period queueing analysis"/>
    <x v="1"/>
  </r>
  <r>
    <s v="Matching Distribution"/>
    <x v="8"/>
    <s v="Probability Theory"/>
    <s v="Intro Probability, Combinatorics"/>
    <s v="4 - Lower"/>
    <s v="No"/>
    <x v="1"/>
    <s v="Classic derangement/matching problem distribution"/>
    <x v="2"/>
  </r>
  <r>
    <s v="Noncentral Chi"/>
    <x v="0"/>
    <s v="Statistics, Engineering"/>
    <s v="Mathematical Statistics, Signal Processing"/>
    <s v="4 - Lower"/>
    <s v="No"/>
    <x v="2"/>
    <s v="Less common than noncentral chi-square, but a real remaining gap once that one is added"/>
    <x v="2"/>
  </r>
  <r>
    <s v="Doubly Noncentral t"/>
    <x v="0"/>
    <s v="Statistics"/>
    <s v="Advanced Mathematical Statistics (grad)"/>
    <s v="4 - Lower"/>
    <s v="No"/>
    <x v="3"/>
    <s v="Both numerator and denominator noncentral; no standard package support, advanced power-analysis edge case"/>
    <x v="2"/>
  </r>
  <r>
    <s v="Doubly Noncentral F"/>
    <x v="0"/>
    <s v="Statistics"/>
    <s v="Advanced Mathematical Statistics (grad)"/>
    <s v="4 - Lower"/>
    <s v="No"/>
    <x v="3"/>
    <s v="Same rationale as Doubly Noncentral t"/>
    <x v="2"/>
  </r>
  <r>
    <s v="Hyperbolic-Secant"/>
    <x v="0"/>
    <s v="Statistics"/>
    <s v="Applied Statistics"/>
    <s v="4 - Lower"/>
    <s v="Yes (hypsecant)"/>
    <x v="0"/>
    <s v="Logistic-like shape; occasional alternative to Normal"/>
    <x v="0"/>
  </r>
  <r>
    <s v="Marchenko–Pastur"/>
    <x v="0"/>
    <s v="Statistics, Physics"/>
    <s v="Random Matrix Theory (grad)"/>
    <s v="4 - Lower"/>
    <s v="No"/>
    <x v="2"/>
    <s v="Pairs with Wigner Semicircle in random matrix theory; density is piecewise depending on aspect-ratio parameter"/>
    <x v="2"/>
  </r>
  <r>
    <s v="Tracy–Widom"/>
    <x v="0"/>
    <s v="Statistics, Physics"/>
    <s v="Random Matrix Theory (grad)"/>
    <s v="4 - Lower"/>
    <s v="No"/>
    <x v="3"/>
    <s v="Same cluster as Semicircle/Marchenko-Pastur; no closed-form density, defined via Painlevé differential equations"/>
    <x v="1"/>
  </r>
  <r>
    <s v="U-Quadratic"/>
    <x v="0"/>
    <s v="Statistics"/>
    <s v="Applied Statistics"/>
    <s v="4 - Lower"/>
    <s v="No"/>
    <x v="4"/>
    <s v="Bathtub-shaped density on a bounded interval; niche but simple"/>
    <x v="1"/>
  </r>
  <r>
    <s v="Fisher's z-distribution"/>
    <x v="0"/>
    <s v="Statistics"/>
    <s v="Mathematical Statistics (historical/classical)"/>
    <s v="4 - Lower"/>
    <s v="No"/>
    <x v="4"/>
    <s v="Classical transform of F; historically important but rarely used directly today"/>
    <x v="2"/>
  </r>
  <r>
    <s v="Hyperbolic (general family)"/>
    <x v="0"/>
    <s v="Finance"/>
    <s v="Quantitative Finance (grad)"/>
    <s v="4 - Lower"/>
    <s v="No"/>
    <x v="3"/>
    <s v="Umbrella family for NIG and Variance-Gamma already in this table; the general family is harder to implement than its special cases"/>
    <x v="2"/>
  </r>
  <r>
    <s v="Voigt Profile"/>
    <x v="0"/>
    <s v="Physics, Engineering"/>
    <s v="Spectroscopy, Signal Processing"/>
    <s v="4 - Lower"/>
    <s v="Yes (voigt_profile)"/>
    <x v="0"/>
    <s v="Convolution of Normal+Cauchy; used in spectroscopy and engineering signal analysis"/>
    <x v="0"/>
  </r>
  <r>
    <s v="Wakeby"/>
    <x v="0"/>
    <s v="Hydrology, Environmental Statistics"/>
    <s v="Environmental/Hydrology Statistics (grad)"/>
    <s v="4 - Lower"/>
    <s v="No"/>
    <x v="3"/>
    <s v="Flood-frequency modeling; 5-parameter family with no simple closed-form density, defined via quantile function"/>
    <x v="2"/>
  </r>
  <r>
    <s v="Matrix t"/>
    <x v="3"/>
    <s v="Statistics"/>
    <s v="Advanced Multivariate Statistics (grad)"/>
    <s v="4 - Lower"/>
    <s v="No"/>
    <x v="3"/>
    <s v="Matrix-variate generalization, natural companion to Matrix Normal already in this table; grad-level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892D37-CE72-4C7A-937D-61FAE4CC9674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F11" firstHeaderRow="1" firstDataRow="2" firstDataCol="1" rowPageCount="1" colPageCount="1"/>
  <pivotFields count="9">
    <pivotField showAll="0"/>
    <pivotField axis="axisRow" dataField="1" showAll="0">
      <items count="16">
        <item x="7"/>
        <item x="4"/>
        <item x="6"/>
        <item x="11"/>
        <item x="1"/>
        <item x="10"/>
        <item x="3"/>
        <item x="13"/>
        <item x="0"/>
        <item x="9"/>
        <item x="14"/>
        <item x="12"/>
        <item x="2"/>
        <item x="8"/>
        <item x="5"/>
        <item t="default"/>
      </items>
    </pivotField>
    <pivotField showAll="0"/>
    <pivotField showAll="0"/>
    <pivotField showAll="0"/>
    <pivotField showAll="0"/>
    <pivotField axis="axisCol" showAll="0">
      <items count="6">
        <item x="3"/>
        <item x="0"/>
        <item x="4"/>
        <item x="1"/>
        <item x="2"/>
        <item t="default"/>
      </items>
    </pivotField>
    <pivotField showAll="0"/>
    <pivotField axis="axisPage" showAll="0">
      <items count="4">
        <item x="1"/>
        <item x="2"/>
        <item x="0"/>
        <item t="default"/>
      </items>
    </pivotField>
  </pivotFields>
  <rowFields count="1">
    <field x="1"/>
  </rowFields>
  <rowItems count="6">
    <i>
      <x v="6"/>
    </i>
    <i>
      <x v="8"/>
    </i>
    <i>
      <x v="9"/>
    </i>
    <i>
      <x v="12"/>
    </i>
    <i>
      <x v="14"/>
    </i>
    <i t="grand">
      <x/>
    </i>
  </rowItems>
  <colFields count="1">
    <field x="6"/>
  </colFields>
  <colItems count="5">
    <i>
      <x/>
    </i>
    <i>
      <x v="2"/>
    </i>
    <i>
      <x v="3"/>
    </i>
    <i>
      <x v="4"/>
    </i>
    <i t="grand">
      <x/>
    </i>
  </colItems>
  <pageFields count="1">
    <pageField fld="8" item="0" hier="-1"/>
  </pageFields>
  <dataFields count="1">
    <dataField name="Count of Typ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AEA6C-337A-4C5A-B006-E965D9CFD998}">
  <dimension ref="A2:F11"/>
  <sheetViews>
    <sheetView workbookViewId="0">
      <selection activeCell="A4" sqref="A4"/>
    </sheetView>
  </sheetViews>
  <sheetFormatPr defaultRowHeight="14.4" x14ac:dyDescent="0.3"/>
  <cols>
    <col min="1" max="1" width="41.77734375" bestFit="1" customWidth="1"/>
    <col min="2" max="2" width="15.77734375" bestFit="1" customWidth="1"/>
    <col min="3" max="3" width="12.44140625" bestFit="1" customWidth="1"/>
    <col min="4" max="4" width="8.33203125" bestFit="1" customWidth="1"/>
    <col min="5" max="5" width="13" bestFit="1" customWidth="1"/>
    <col min="6" max="7" width="11" bestFit="1" customWidth="1"/>
    <col min="8" max="8" width="26.109375" bestFit="1" customWidth="1"/>
    <col min="9" max="9" width="24.88671875" bestFit="1" customWidth="1"/>
    <col min="10" max="10" width="20.5546875" bestFit="1" customWidth="1"/>
    <col min="11" max="11" width="41.88671875" bestFit="1" customWidth="1"/>
    <col min="12" max="12" width="26.6640625" bestFit="1" customWidth="1"/>
    <col min="13" max="13" width="36.6640625" bestFit="1" customWidth="1"/>
    <col min="14" max="14" width="17.77734375" bestFit="1" customWidth="1"/>
    <col min="15" max="15" width="31.88671875" bestFit="1" customWidth="1"/>
    <col min="16" max="16" width="40.21875" bestFit="1" customWidth="1"/>
    <col min="17" max="17" width="11" bestFit="1" customWidth="1"/>
  </cols>
  <sheetData>
    <row r="2" spans="1:6" x14ac:dyDescent="0.3">
      <c r="A2" s="11" t="s">
        <v>481</v>
      </c>
      <c r="B2" t="s">
        <v>484</v>
      </c>
    </row>
    <row r="4" spans="1:6" x14ac:dyDescent="0.3">
      <c r="A4" s="11" t="s">
        <v>488</v>
      </c>
      <c r="B4" s="11" t="s">
        <v>487</v>
      </c>
    </row>
    <row r="5" spans="1:6" x14ac:dyDescent="0.3">
      <c r="A5" s="11" t="s">
        <v>485</v>
      </c>
      <c r="B5" t="s">
        <v>82</v>
      </c>
      <c r="C5" t="s">
        <v>140</v>
      </c>
      <c r="D5" t="s">
        <v>30</v>
      </c>
      <c r="E5" t="s">
        <v>35</v>
      </c>
      <c r="F5" t="s">
        <v>486</v>
      </c>
    </row>
    <row r="6" spans="1:6" x14ac:dyDescent="0.3">
      <c r="A6" s="12" t="s">
        <v>70</v>
      </c>
      <c r="B6" s="13"/>
      <c r="C6" s="13"/>
      <c r="D6" s="13"/>
      <c r="E6" s="13">
        <v>1</v>
      </c>
      <c r="F6" s="13">
        <v>1</v>
      </c>
    </row>
    <row r="7" spans="1:6" x14ac:dyDescent="0.3">
      <c r="A7" s="12" t="s">
        <v>9</v>
      </c>
      <c r="B7" s="13">
        <v>1</v>
      </c>
      <c r="C7" s="13">
        <v>6</v>
      </c>
      <c r="D7" s="13">
        <v>5</v>
      </c>
      <c r="E7" s="13">
        <v>1</v>
      </c>
      <c r="F7" s="13">
        <v>13</v>
      </c>
    </row>
    <row r="8" spans="1:6" x14ac:dyDescent="0.3">
      <c r="A8" s="12" t="s">
        <v>335</v>
      </c>
      <c r="B8" s="13"/>
      <c r="C8" s="13"/>
      <c r="D8" s="13"/>
      <c r="E8" s="13">
        <v>1</v>
      </c>
      <c r="F8" s="13">
        <v>1</v>
      </c>
    </row>
    <row r="9" spans="1:6" x14ac:dyDescent="0.3">
      <c r="A9" s="12" t="s">
        <v>64</v>
      </c>
      <c r="B9" s="13"/>
      <c r="C9" s="13"/>
      <c r="D9" s="13">
        <v>2</v>
      </c>
      <c r="E9" s="13"/>
      <c r="F9" s="13">
        <v>2</v>
      </c>
    </row>
    <row r="10" spans="1:6" x14ac:dyDescent="0.3">
      <c r="A10" s="12" t="s">
        <v>187</v>
      </c>
      <c r="B10" s="13"/>
      <c r="C10" s="13"/>
      <c r="D10" s="13">
        <v>1</v>
      </c>
      <c r="E10" s="13"/>
      <c r="F10" s="13">
        <v>1</v>
      </c>
    </row>
    <row r="11" spans="1:6" x14ac:dyDescent="0.3">
      <c r="A11" s="12" t="s">
        <v>486</v>
      </c>
      <c r="B11" s="13">
        <v>1</v>
      </c>
      <c r="C11" s="13">
        <v>6</v>
      </c>
      <c r="D11" s="13">
        <v>8</v>
      </c>
      <c r="E11" s="13">
        <v>3</v>
      </c>
      <c r="F11" s="13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26"/>
  <sheetViews>
    <sheetView tabSelected="1" zoomScaleNormal="100" workbookViewId="0">
      <pane xSplit="1" ySplit="1" topLeftCell="B8" activePane="bottomRight" state="frozen"/>
      <selection pane="topRight" activeCell="B1" sqref="B1"/>
      <selection pane="bottomLeft" activeCell="A2" sqref="A2"/>
      <selection pane="bottomRight" activeCell="A8" sqref="A8"/>
    </sheetView>
  </sheetViews>
  <sheetFormatPr defaultColWidth="8.6640625" defaultRowHeight="14.4" x14ac:dyDescent="0.3"/>
  <cols>
    <col min="1" max="1" width="40" customWidth="1"/>
    <col min="2" max="3" width="30" customWidth="1"/>
    <col min="4" max="4" width="42" customWidth="1"/>
    <col min="5" max="5" width="13" customWidth="1"/>
    <col min="6" max="6" width="32" customWidth="1"/>
    <col min="7" max="7" width="18" customWidth="1"/>
    <col min="8" max="8" width="60" customWidth="1"/>
  </cols>
  <sheetData>
    <row r="1" spans="1:9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481</v>
      </c>
    </row>
    <row r="2" spans="1:9" ht="26.4" hidden="1" x14ac:dyDescent="0.3">
      <c r="A2" s="2" t="s">
        <v>8</v>
      </c>
      <c r="B2" s="2" t="s">
        <v>9</v>
      </c>
      <c r="C2" s="2" t="s">
        <v>10</v>
      </c>
      <c r="D2" s="2" t="s">
        <v>11</v>
      </c>
      <c r="E2" s="3" t="s">
        <v>12</v>
      </c>
      <c r="F2" s="2" t="s">
        <v>13</v>
      </c>
      <c r="G2" s="2" t="s">
        <v>14</v>
      </c>
      <c r="H2" s="2" t="s">
        <v>15</v>
      </c>
      <c r="I2" s="7" t="s">
        <v>482</v>
      </c>
    </row>
    <row r="3" spans="1:9" hidden="1" x14ac:dyDescent="0.3">
      <c r="A3" s="2" t="s">
        <v>16</v>
      </c>
      <c r="B3" s="2" t="s">
        <v>9</v>
      </c>
      <c r="C3" s="2" t="s">
        <v>17</v>
      </c>
      <c r="D3" s="2" t="s">
        <v>18</v>
      </c>
      <c r="E3" s="3" t="s">
        <v>12</v>
      </c>
      <c r="F3" s="2" t="s">
        <v>19</v>
      </c>
      <c r="G3" s="2" t="s">
        <v>14</v>
      </c>
      <c r="H3" s="2" t="s">
        <v>20</v>
      </c>
      <c r="I3" s="7" t="s">
        <v>482</v>
      </c>
    </row>
    <row r="4" spans="1:9" ht="26.4" hidden="1" x14ac:dyDescent="0.3">
      <c r="A4" s="2" t="s">
        <v>21</v>
      </c>
      <c r="B4" s="2" t="s">
        <v>9</v>
      </c>
      <c r="C4" s="2" t="s">
        <v>22</v>
      </c>
      <c r="D4" s="2" t="s">
        <v>23</v>
      </c>
      <c r="E4" s="3" t="s">
        <v>12</v>
      </c>
      <c r="F4" s="2" t="s">
        <v>24</v>
      </c>
      <c r="G4" s="2" t="s">
        <v>14</v>
      </c>
      <c r="H4" s="2" t="s">
        <v>25</v>
      </c>
      <c r="I4" s="7" t="s">
        <v>482</v>
      </c>
    </row>
    <row r="5" spans="1:9" ht="26.4" hidden="1" x14ac:dyDescent="0.3">
      <c r="A5" s="2" t="s">
        <v>26</v>
      </c>
      <c r="B5" s="2" t="s">
        <v>9</v>
      </c>
      <c r="C5" s="2" t="s">
        <v>27</v>
      </c>
      <c r="D5" s="2" t="s">
        <v>28</v>
      </c>
      <c r="E5" s="3" t="s">
        <v>12</v>
      </c>
      <c r="F5" s="2" t="s">
        <v>29</v>
      </c>
      <c r="G5" s="2" t="s">
        <v>30</v>
      </c>
      <c r="H5" s="2" t="s">
        <v>31</v>
      </c>
      <c r="I5" s="9" t="s">
        <v>482</v>
      </c>
    </row>
    <row r="6" spans="1:9" ht="39.6" hidden="1" x14ac:dyDescent="0.3">
      <c r="A6" s="2" t="s">
        <v>32</v>
      </c>
      <c r="B6" s="2" t="s">
        <v>9</v>
      </c>
      <c r="C6" s="2" t="s">
        <v>27</v>
      </c>
      <c r="D6" s="2" t="s">
        <v>33</v>
      </c>
      <c r="E6" s="3" t="s">
        <v>12</v>
      </c>
      <c r="F6" s="2" t="s">
        <v>34</v>
      </c>
      <c r="G6" s="2" t="s">
        <v>35</v>
      </c>
      <c r="H6" s="2" t="s">
        <v>36</v>
      </c>
      <c r="I6" s="9" t="s">
        <v>482</v>
      </c>
    </row>
    <row r="7" spans="1:9" ht="26.4" hidden="1" x14ac:dyDescent="0.3">
      <c r="A7" s="2" t="s">
        <v>37</v>
      </c>
      <c r="B7" s="2" t="s">
        <v>9</v>
      </c>
      <c r="C7" s="2" t="s">
        <v>27</v>
      </c>
      <c r="D7" s="2" t="s">
        <v>38</v>
      </c>
      <c r="E7" s="3" t="s">
        <v>12</v>
      </c>
      <c r="F7" s="2" t="s">
        <v>34</v>
      </c>
      <c r="G7" s="2" t="s">
        <v>14</v>
      </c>
      <c r="H7" s="2" t="s">
        <v>39</v>
      </c>
      <c r="I7" s="7" t="s">
        <v>482</v>
      </c>
    </row>
    <row r="8" spans="1:9" ht="26.4" x14ac:dyDescent="0.3">
      <c r="A8" s="2" t="s">
        <v>40</v>
      </c>
      <c r="B8" s="2" t="s">
        <v>41</v>
      </c>
      <c r="C8" s="2" t="s">
        <v>42</v>
      </c>
      <c r="D8" s="2" t="s">
        <v>43</v>
      </c>
      <c r="E8" s="3" t="s">
        <v>12</v>
      </c>
      <c r="F8" s="2" t="s">
        <v>44</v>
      </c>
      <c r="G8" s="2" t="s">
        <v>30</v>
      </c>
      <c r="H8" s="2" t="s">
        <v>45</v>
      </c>
      <c r="I8" s="8" t="s">
        <v>482</v>
      </c>
    </row>
    <row r="9" spans="1:9" ht="26.4" hidden="1" x14ac:dyDescent="0.3">
      <c r="A9" s="2" t="s">
        <v>46</v>
      </c>
      <c r="B9" s="2" t="s">
        <v>9</v>
      </c>
      <c r="C9" s="2" t="s">
        <v>47</v>
      </c>
      <c r="D9" s="2" t="s">
        <v>48</v>
      </c>
      <c r="E9" s="3" t="s">
        <v>12</v>
      </c>
      <c r="F9" s="2" t="s">
        <v>49</v>
      </c>
      <c r="G9" s="2" t="s">
        <v>14</v>
      </c>
      <c r="H9" s="2" t="s">
        <v>50</v>
      </c>
      <c r="I9" s="7" t="s">
        <v>482</v>
      </c>
    </row>
    <row r="10" spans="1:9" ht="26.4" hidden="1" x14ac:dyDescent="0.3">
      <c r="A10" s="2" t="s">
        <v>51</v>
      </c>
      <c r="B10" s="2" t="s">
        <v>9</v>
      </c>
      <c r="C10" s="2" t="s">
        <v>52</v>
      </c>
      <c r="D10" s="2" t="s">
        <v>53</v>
      </c>
      <c r="E10" s="3" t="s">
        <v>12</v>
      </c>
      <c r="F10" s="2" t="s">
        <v>54</v>
      </c>
      <c r="G10" s="2" t="s">
        <v>14</v>
      </c>
      <c r="H10" s="2" t="s">
        <v>55</v>
      </c>
      <c r="I10" s="7" t="s">
        <v>482</v>
      </c>
    </row>
    <row r="11" spans="1:9" hidden="1" x14ac:dyDescent="0.3">
      <c r="A11" s="2" t="s">
        <v>56</v>
      </c>
      <c r="B11" s="2" t="s">
        <v>9</v>
      </c>
      <c r="C11" s="2" t="s">
        <v>52</v>
      </c>
      <c r="D11" s="2" t="s">
        <v>53</v>
      </c>
      <c r="E11" s="3" t="s">
        <v>12</v>
      </c>
      <c r="F11" s="2" t="s">
        <v>57</v>
      </c>
      <c r="G11" s="2" t="s">
        <v>14</v>
      </c>
      <c r="H11" s="2" t="s">
        <v>58</v>
      </c>
      <c r="I11" s="7" t="s">
        <v>482</v>
      </c>
    </row>
    <row r="12" spans="1:9" hidden="1" x14ac:dyDescent="0.3">
      <c r="A12" s="2" t="s">
        <v>59</v>
      </c>
      <c r="B12" s="2" t="s">
        <v>9</v>
      </c>
      <c r="C12" s="2" t="s">
        <v>52</v>
      </c>
      <c r="D12" s="2" t="s">
        <v>60</v>
      </c>
      <c r="E12" s="3" t="s">
        <v>12</v>
      </c>
      <c r="F12" s="2" t="s">
        <v>61</v>
      </c>
      <c r="G12" s="2" t="s">
        <v>14</v>
      </c>
      <c r="H12" s="2" t="s">
        <v>62</v>
      </c>
      <c r="I12" s="7" t="s">
        <v>482</v>
      </c>
    </row>
    <row r="13" spans="1:9" ht="26.4" hidden="1" x14ac:dyDescent="0.3">
      <c r="A13" s="2" t="s">
        <v>63</v>
      </c>
      <c r="B13" s="2" t="s">
        <v>64</v>
      </c>
      <c r="C13" s="2" t="s">
        <v>65</v>
      </c>
      <c r="D13" s="2" t="s">
        <v>66</v>
      </c>
      <c r="E13" s="3" t="s">
        <v>12</v>
      </c>
      <c r="F13" s="2" t="s">
        <v>67</v>
      </c>
      <c r="G13" s="2" t="s">
        <v>14</v>
      </c>
      <c r="H13" s="2" t="s">
        <v>68</v>
      </c>
      <c r="I13" s="7" t="s">
        <v>482</v>
      </c>
    </row>
    <row r="14" spans="1:9" ht="39.6" hidden="1" x14ac:dyDescent="0.3">
      <c r="A14" s="2" t="s">
        <v>69</v>
      </c>
      <c r="B14" s="2" t="s">
        <v>70</v>
      </c>
      <c r="C14" s="2" t="s">
        <v>71</v>
      </c>
      <c r="D14" s="2" t="s">
        <v>72</v>
      </c>
      <c r="E14" s="3" t="s">
        <v>12</v>
      </c>
      <c r="F14" s="2" t="s">
        <v>34</v>
      </c>
      <c r="G14" s="2" t="s">
        <v>35</v>
      </c>
      <c r="H14" s="2" t="s">
        <v>73</v>
      </c>
      <c r="I14" s="7" t="s">
        <v>484</v>
      </c>
    </row>
    <row r="15" spans="1:9" ht="26.4" hidden="1" x14ac:dyDescent="0.3">
      <c r="A15" s="2" t="s">
        <v>74</v>
      </c>
      <c r="B15" s="2" t="s">
        <v>9</v>
      </c>
      <c r="C15" s="2" t="s">
        <v>75</v>
      </c>
      <c r="D15" s="2" t="s">
        <v>76</v>
      </c>
      <c r="E15" s="4" t="s">
        <v>77</v>
      </c>
      <c r="F15" s="2" t="s">
        <v>78</v>
      </c>
      <c r="G15" s="2" t="s">
        <v>14</v>
      </c>
      <c r="H15" s="2" t="s">
        <v>79</v>
      </c>
      <c r="I15" s="7" t="s">
        <v>482</v>
      </c>
    </row>
    <row r="16" spans="1:9" ht="39.6" hidden="1" x14ac:dyDescent="0.3">
      <c r="A16" s="2" t="s">
        <v>80</v>
      </c>
      <c r="B16" s="2" t="s">
        <v>9</v>
      </c>
      <c r="C16" s="2" t="s">
        <v>27</v>
      </c>
      <c r="D16" s="2" t="s">
        <v>81</v>
      </c>
      <c r="E16" s="4" t="s">
        <v>77</v>
      </c>
      <c r="F16" s="2" t="s">
        <v>34</v>
      </c>
      <c r="G16" s="2" t="s">
        <v>82</v>
      </c>
      <c r="H16" s="2" t="s">
        <v>83</v>
      </c>
      <c r="I16" s="8" t="s">
        <v>483</v>
      </c>
    </row>
    <row r="17" spans="1:9" ht="26.4" hidden="1" x14ac:dyDescent="0.3">
      <c r="A17" s="2" t="s">
        <v>84</v>
      </c>
      <c r="B17" s="2" t="s">
        <v>9</v>
      </c>
      <c r="C17" s="2" t="s">
        <v>85</v>
      </c>
      <c r="D17" s="2" t="s">
        <v>86</v>
      </c>
      <c r="E17" s="4" t="s">
        <v>77</v>
      </c>
      <c r="F17" s="2" t="s">
        <v>87</v>
      </c>
      <c r="G17" s="2" t="s">
        <v>14</v>
      </c>
      <c r="H17" s="2" t="s">
        <v>88</v>
      </c>
      <c r="I17" s="7" t="s">
        <v>482</v>
      </c>
    </row>
    <row r="18" spans="1:9" hidden="1" x14ac:dyDescent="0.3">
      <c r="A18" s="2" t="s">
        <v>89</v>
      </c>
      <c r="B18" s="2" t="s">
        <v>9</v>
      </c>
      <c r="C18" s="2" t="s">
        <v>85</v>
      </c>
      <c r="D18" s="2" t="s">
        <v>90</v>
      </c>
      <c r="E18" s="4" t="s">
        <v>77</v>
      </c>
      <c r="F18" s="2" t="s">
        <v>91</v>
      </c>
      <c r="G18" s="2" t="s">
        <v>14</v>
      </c>
      <c r="H18" s="2" t="s">
        <v>92</v>
      </c>
      <c r="I18" s="7" t="s">
        <v>482</v>
      </c>
    </row>
    <row r="19" spans="1:9" hidden="1" x14ac:dyDescent="0.3">
      <c r="A19" s="2" t="s">
        <v>93</v>
      </c>
      <c r="B19" s="2" t="s">
        <v>9</v>
      </c>
      <c r="C19" s="2" t="s">
        <v>71</v>
      </c>
      <c r="D19" s="2" t="s">
        <v>94</v>
      </c>
      <c r="E19" s="4" t="s">
        <v>77</v>
      </c>
      <c r="F19" s="2" t="s">
        <v>95</v>
      </c>
      <c r="G19" s="2" t="s">
        <v>14</v>
      </c>
      <c r="H19" s="2" t="s">
        <v>96</v>
      </c>
      <c r="I19" s="7" t="s">
        <v>482</v>
      </c>
    </row>
    <row r="20" spans="1:9" hidden="1" x14ac:dyDescent="0.3">
      <c r="A20" s="2" t="s">
        <v>97</v>
      </c>
      <c r="B20" s="2" t="s">
        <v>9</v>
      </c>
      <c r="C20" s="2" t="s">
        <v>71</v>
      </c>
      <c r="D20" s="2" t="s">
        <v>94</v>
      </c>
      <c r="E20" s="4" t="s">
        <v>77</v>
      </c>
      <c r="F20" s="2" t="s">
        <v>98</v>
      </c>
      <c r="G20" s="2" t="s">
        <v>14</v>
      </c>
      <c r="H20" s="2" t="s">
        <v>99</v>
      </c>
      <c r="I20" s="7" t="s">
        <v>482</v>
      </c>
    </row>
    <row r="21" spans="1:9" hidden="1" x14ac:dyDescent="0.3">
      <c r="A21" s="2" t="s">
        <v>100</v>
      </c>
      <c r="B21" s="2" t="s">
        <v>9</v>
      </c>
      <c r="C21" s="2" t="s">
        <v>71</v>
      </c>
      <c r="D21" s="2" t="s">
        <v>94</v>
      </c>
      <c r="E21" s="4" t="s">
        <v>77</v>
      </c>
      <c r="F21" s="2" t="s">
        <v>101</v>
      </c>
      <c r="G21" s="2" t="s">
        <v>14</v>
      </c>
      <c r="H21" s="2" t="s">
        <v>102</v>
      </c>
      <c r="I21" s="7" t="s">
        <v>482</v>
      </c>
    </row>
    <row r="22" spans="1:9" ht="26.4" x14ac:dyDescent="0.3">
      <c r="A22" s="2" t="s">
        <v>103</v>
      </c>
      <c r="B22" s="2" t="s">
        <v>41</v>
      </c>
      <c r="C22" s="2" t="s">
        <v>104</v>
      </c>
      <c r="D22" s="2" t="s">
        <v>105</v>
      </c>
      <c r="E22" s="4" t="s">
        <v>77</v>
      </c>
      <c r="F22" s="2" t="s">
        <v>106</v>
      </c>
      <c r="G22" s="2" t="s">
        <v>30</v>
      </c>
      <c r="H22" s="2" t="s">
        <v>107</v>
      </c>
      <c r="I22" s="7" t="s">
        <v>482</v>
      </c>
    </row>
    <row r="23" spans="1:9" ht="26.4" x14ac:dyDescent="0.3">
      <c r="A23" s="2" t="s">
        <v>108</v>
      </c>
      <c r="B23" s="2" t="s">
        <v>41</v>
      </c>
      <c r="C23" s="2" t="s">
        <v>71</v>
      </c>
      <c r="D23" s="2" t="s">
        <v>109</v>
      </c>
      <c r="E23" s="4" t="s">
        <v>77</v>
      </c>
      <c r="F23" s="2" t="s">
        <v>110</v>
      </c>
      <c r="G23" s="2" t="s">
        <v>35</v>
      </c>
      <c r="H23" s="2" t="s">
        <v>111</v>
      </c>
      <c r="I23" s="7" t="s">
        <v>482</v>
      </c>
    </row>
    <row r="24" spans="1:9" x14ac:dyDescent="0.3">
      <c r="A24" s="2" t="s">
        <v>112</v>
      </c>
      <c r="B24" s="2" t="s">
        <v>41</v>
      </c>
      <c r="C24" s="2" t="s">
        <v>71</v>
      </c>
      <c r="D24" s="2" t="s">
        <v>109</v>
      </c>
      <c r="E24" s="4" t="s">
        <v>77</v>
      </c>
      <c r="F24" s="2" t="s">
        <v>113</v>
      </c>
      <c r="G24" s="2" t="s">
        <v>35</v>
      </c>
      <c r="H24" s="2" t="s">
        <v>114</v>
      </c>
      <c r="I24" s="7" t="s">
        <v>482</v>
      </c>
    </row>
    <row r="25" spans="1:9" ht="26.4" hidden="1" x14ac:dyDescent="0.3">
      <c r="A25" s="2" t="s">
        <v>115</v>
      </c>
      <c r="B25" s="2" t="s">
        <v>9</v>
      </c>
      <c r="C25" s="2" t="s">
        <v>116</v>
      </c>
      <c r="D25" s="2" t="s">
        <v>117</v>
      </c>
      <c r="E25" s="4" t="s">
        <v>77</v>
      </c>
      <c r="F25" s="2" t="s">
        <v>118</v>
      </c>
      <c r="G25" s="2" t="s">
        <v>14</v>
      </c>
      <c r="H25" s="2" t="s">
        <v>119</v>
      </c>
      <c r="I25" s="7" t="s">
        <v>482</v>
      </c>
    </row>
    <row r="26" spans="1:9" ht="26.4" hidden="1" x14ac:dyDescent="0.3">
      <c r="A26" s="2" t="s">
        <v>120</v>
      </c>
      <c r="B26" s="2" t="s">
        <v>64</v>
      </c>
      <c r="C26" s="2" t="s">
        <v>121</v>
      </c>
      <c r="D26" s="2" t="s">
        <v>122</v>
      </c>
      <c r="E26" s="4" t="s">
        <v>77</v>
      </c>
      <c r="F26" s="2" t="s">
        <v>123</v>
      </c>
      <c r="G26" s="2" t="s">
        <v>14</v>
      </c>
      <c r="H26" s="2" t="s">
        <v>124</v>
      </c>
      <c r="I26" s="7" t="s">
        <v>482</v>
      </c>
    </row>
    <row r="27" spans="1:9" ht="39.6" hidden="1" x14ac:dyDescent="0.3">
      <c r="A27" s="2" t="s">
        <v>125</v>
      </c>
      <c r="B27" s="2" t="s">
        <v>126</v>
      </c>
      <c r="C27" s="2" t="s">
        <v>27</v>
      </c>
      <c r="D27" s="2" t="s">
        <v>86</v>
      </c>
      <c r="E27" s="4" t="s">
        <v>77</v>
      </c>
      <c r="F27" s="2" t="s">
        <v>127</v>
      </c>
      <c r="G27" s="2" t="s">
        <v>35</v>
      </c>
      <c r="H27" s="2" t="s">
        <v>128</v>
      </c>
      <c r="I27" s="7" t="s">
        <v>483</v>
      </c>
    </row>
    <row r="28" spans="1:9" ht="26.4" hidden="1" x14ac:dyDescent="0.3">
      <c r="A28" s="2" t="s">
        <v>129</v>
      </c>
      <c r="B28" s="2" t="s">
        <v>64</v>
      </c>
      <c r="C28" s="2" t="s">
        <v>130</v>
      </c>
      <c r="D28" s="2" t="s">
        <v>66</v>
      </c>
      <c r="E28" s="4" t="s">
        <v>77</v>
      </c>
      <c r="F28" s="2" t="s">
        <v>131</v>
      </c>
      <c r="G28" s="2" t="s">
        <v>14</v>
      </c>
      <c r="H28" s="2" t="s">
        <v>132</v>
      </c>
      <c r="I28" s="7" t="s">
        <v>482</v>
      </c>
    </row>
    <row r="29" spans="1:9" ht="26.4" hidden="1" x14ac:dyDescent="0.3">
      <c r="A29" s="2" t="s">
        <v>133</v>
      </c>
      <c r="B29" s="2" t="s">
        <v>9</v>
      </c>
      <c r="C29" s="2" t="s">
        <v>134</v>
      </c>
      <c r="D29" s="2" t="s">
        <v>135</v>
      </c>
      <c r="E29" s="4" t="s">
        <v>77</v>
      </c>
      <c r="F29" s="2" t="s">
        <v>34</v>
      </c>
      <c r="G29" s="2" t="s">
        <v>14</v>
      </c>
      <c r="H29" s="2" t="s">
        <v>136</v>
      </c>
      <c r="I29" s="7" t="s">
        <v>482</v>
      </c>
    </row>
    <row r="30" spans="1:9" ht="26.4" hidden="1" x14ac:dyDescent="0.3">
      <c r="A30" s="2" t="s">
        <v>137</v>
      </c>
      <c r="B30" s="2" t="s">
        <v>9</v>
      </c>
      <c r="C30" s="2" t="s">
        <v>138</v>
      </c>
      <c r="D30" s="2" t="s">
        <v>139</v>
      </c>
      <c r="E30" s="4" t="s">
        <v>77</v>
      </c>
      <c r="F30" s="2" t="s">
        <v>34</v>
      </c>
      <c r="G30" s="2" t="s">
        <v>140</v>
      </c>
      <c r="H30" s="2" t="s">
        <v>141</v>
      </c>
      <c r="I30" s="8" t="s">
        <v>484</v>
      </c>
    </row>
    <row r="31" spans="1:9" ht="26.4" hidden="1" x14ac:dyDescent="0.3">
      <c r="A31" s="2" t="s">
        <v>142</v>
      </c>
      <c r="B31" s="2" t="s">
        <v>9</v>
      </c>
      <c r="C31" s="2" t="s">
        <v>143</v>
      </c>
      <c r="D31" s="2" t="s">
        <v>144</v>
      </c>
      <c r="E31" s="4" t="s">
        <v>77</v>
      </c>
      <c r="F31" s="2" t="s">
        <v>34</v>
      </c>
      <c r="G31" s="2" t="s">
        <v>14</v>
      </c>
      <c r="H31" s="2" t="s">
        <v>145</v>
      </c>
      <c r="I31" s="7" t="s">
        <v>482</v>
      </c>
    </row>
    <row r="32" spans="1:9" ht="26.4" hidden="1" x14ac:dyDescent="0.3">
      <c r="A32" s="2" t="s">
        <v>146</v>
      </c>
      <c r="B32" s="2" t="s">
        <v>9</v>
      </c>
      <c r="C32" s="2" t="s">
        <v>143</v>
      </c>
      <c r="D32" s="2" t="s">
        <v>144</v>
      </c>
      <c r="E32" s="4" t="s">
        <v>77</v>
      </c>
      <c r="F32" s="2" t="s">
        <v>147</v>
      </c>
      <c r="G32" s="2" t="s">
        <v>14</v>
      </c>
      <c r="H32" s="2" t="s">
        <v>148</v>
      </c>
      <c r="I32" s="7" t="s">
        <v>482</v>
      </c>
    </row>
    <row r="33" spans="1:9" ht="26.4" hidden="1" x14ac:dyDescent="0.3">
      <c r="A33" s="2" t="s">
        <v>149</v>
      </c>
      <c r="B33" s="2" t="s">
        <v>9</v>
      </c>
      <c r="C33" s="2" t="s">
        <v>150</v>
      </c>
      <c r="D33" s="2" t="s">
        <v>151</v>
      </c>
      <c r="E33" s="4" t="s">
        <v>77</v>
      </c>
      <c r="F33" s="2" t="s">
        <v>34</v>
      </c>
      <c r="G33" s="2" t="s">
        <v>30</v>
      </c>
      <c r="H33" s="2" t="s">
        <v>152</v>
      </c>
      <c r="I33" s="8" t="s">
        <v>484</v>
      </c>
    </row>
    <row r="34" spans="1:9" ht="26.4" hidden="1" x14ac:dyDescent="0.3">
      <c r="A34" s="2" t="s">
        <v>153</v>
      </c>
      <c r="B34" s="2" t="s">
        <v>9</v>
      </c>
      <c r="C34" s="2" t="s">
        <v>150</v>
      </c>
      <c r="D34" s="2" t="s">
        <v>151</v>
      </c>
      <c r="E34" s="4" t="s">
        <v>77</v>
      </c>
      <c r="F34" s="2" t="s">
        <v>34</v>
      </c>
      <c r="G34" s="2" t="s">
        <v>30</v>
      </c>
      <c r="H34" s="2" t="s">
        <v>154</v>
      </c>
      <c r="I34" s="8" t="s">
        <v>484</v>
      </c>
    </row>
    <row r="35" spans="1:9" ht="26.4" hidden="1" x14ac:dyDescent="0.3">
      <c r="A35" s="2" t="s">
        <v>155</v>
      </c>
      <c r="B35" s="2" t="s">
        <v>9</v>
      </c>
      <c r="C35" s="2" t="s">
        <v>130</v>
      </c>
      <c r="D35" s="2" t="s">
        <v>156</v>
      </c>
      <c r="E35" s="4" t="s">
        <v>77</v>
      </c>
      <c r="F35" s="2" t="s">
        <v>157</v>
      </c>
      <c r="G35" s="2" t="s">
        <v>14</v>
      </c>
      <c r="H35" s="2" t="s">
        <v>158</v>
      </c>
      <c r="I35" s="7" t="s">
        <v>482</v>
      </c>
    </row>
    <row r="36" spans="1:9" ht="26.4" hidden="1" x14ac:dyDescent="0.3">
      <c r="A36" s="2" t="s">
        <v>159</v>
      </c>
      <c r="B36" s="2" t="s">
        <v>9</v>
      </c>
      <c r="C36" s="2" t="s">
        <v>160</v>
      </c>
      <c r="D36" s="2" t="s">
        <v>161</v>
      </c>
      <c r="E36" s="4" t="s">
        <v>77</v>
      </c>
      <c r="F36" s="2" t="s">
        <v>162</v>
      </c>
      <c r="G36" s="2" t="s">
        <v>30</v>
      </c>
      <c r="H36" s="2" t="s">
        <v>163</v>
      </c>
      <c r="I36" s="8" t="s">
        <v>482</v>
      </c>
    </row>
    <row r="37" spans="1:9" ht="39.6" hidden="1" x14ac:dyDescent="0.3">
      <c r="A37" s="2" t="s">
        <v>164</v>
      </c>
      <c r="B37" s="2" t="s">
        <v>9</v>
      </c>
      <c r="C37" s="2" t="s">
        <v>71</v>
      </c>
      <c r="D37" s="2" t="s">
        <v>94</v>
      </c>
      <c r="E37" s="4" t="s">
        <v>77</v>
      </c>
      <c r="F37" s="2" t="s">
        <v>165</v>
      </c>
      <c r="G37" s="2" t="s">
        <v>14</v>
      </c>
      <c r="H37" s="2" t="s">
        <v>166</v>
      </c>
      <c r="I37" s="7" t="s">
        <v>482</v>
      </c>
    </row>
    <row r="38" spans="1:9" ht="26.4" hidden="1" x14ac:dyDescent="0.3">
      <c r="A38" s="2" t="s">
        <v>167</v>
      </c>
      <c r="B38" s="2" t="s">
        <v>9</v>
      </c>
      <c r="C38" s="2" t="s">
        <v>27</v>
      </c>
      <c r="D38" s="2" t="s">
        <v>28</v>
      </c>
      <c r="E38" s="4" t="s">
        <v>77</v>
      </c>
      <c r="F38" s="2" t="s">
        <v>34</v>
      </c>
      <c r="G38" s="2" t="s">
        <v>30</v>
      </c>
      <c r="H38" s="2" t="s">
        <v>168</v>
      </c>
      <c r="I38" s="8" t="s">
        <v>484</v>
      </c>
    </row>
    <row r="39" spans="1:9" ht="26.4" hidden="1" x14ac:dyDescent="0.3">
      <c r="A39" s="2" t="s">
        <v>169</v>
      </c>
      <c r="B39" s="2" t="s">
        <v>9</v>
      </c>
      <c r="C39" s="2" t="s">
        <v>170</v>
      </c>
      <c r="D39" s="2" t="s">
        <v>171</v>
      </c>
      <c r="E39" s="4" t="s">
        <v>77</v>
      </c>
      <c r="F39" s="2" t="s">
        <v>172</v>
      </c>
      <c r="G39" s="2" t="s">
        <v>14</v>
      </c>
      <c r="H39" s="2" t="s">
        <v>173</v>
      </c>
      <c r="I39" s="7" t="s">
        <v>482</v>
      </c>
    </row>
    <row r="40" spans="1:9" ht="26.4" hidden="1" x14ac:dyDescent="0.3">
      <c r="A40" s="2" t="s">
        <v>174</v>
      </c>
      <c r="B40" s="2" t="s">
        <v>9</v>
      </c>
      <c r="C40" s="2" t="s">
        <v>175</v>
      </c>
      <c r="D40" s="2" t="s">
        <v>176</v>
      </c>
      <c r="E40" s="4" t="s">
        <v>77</v>
      </c>
      <c r="F40" s="2" t="s">
        <v>34</v>
      </c>
      <c r="G40" s="2" t="s">
        <v>35</v>
      </c>
      <c r="H40" s="2" t="s">
        <v>177</v>
      </c>
      <c r="I40" s="8" t="s">
        <v>482</v>
      </c>
    </row>
    <row r="41" spans="1:9" ht="39.6" hidden="1" x14ac:dyDescent="0.3">
      <c r="A41" s="2" t="s">
        <v>178</v>
      </c>
      <c r="B41" s="2" t="s">
        <v>9</v>
      </c>
      <c r="C41" s="2" t="s">
        <v>179</v>
      </c>
      <c r="D41" s="2" t="s">
        <v>180</v>
      </c>
      <c r="E41" s="4" t="s">
        <v>77</v>
      </c>
      <c r="F41" s="2" t="s">
        <v>181</v>
      </c>
      <c r="G41" s="2" t="s">
        <v>14</v>
      </c>
      <c r="H41" s="2" t="s">
        <v>182</v>
      </c>
      <c r="I41" s="7" t="s">
        <v>482</v>
      </c>
    </row>
    <row r="42" spans="1:9" ht="26.4" x14ac:dyDescent="0.3">
      <c r="A42" s="2" t="s">
        <v>183</v>
      </c>
      <c r="B42" s="2" t="s">
        <v>41</v>
      </c>
      <c r="C42" s="2" t="s">
        <v>52</v>
      </c>
      <c r="D42" s="2" t="s">
        <v>184</v>
      </c>
      <c r="E42" s="4" t="s">
        <v>77</v>
      </c>
      <c r="F42" s="2" t="s">
        <v>34</v>
      </c>
      <c r="G42" s="2" t="s">
        <v>30</v>
      </c>
      <c r="H42" s="2" t="s">
        <v>185</v>
      </c>
      <c r="I42" s="8" t="s">
        <v>482</v>
      </c>
    </row>
    <row r="43" spans="1:9" ht="39.6" hidden="1" x14ac:dyDescent="0.3">
      <c r="A43" s="2" t="s">
        <v>186</v>
      </c>
      <c r="B43" s="2" t="s">
        <v>187</v>
      </c>
      <c r="C43" s="2" t="s">
        <v>188</v>
      </c>
      <c r="D43" s="2" t="s">
        <v>189</v>
      </c>
      <c r="E43" s="4" t="s">
        <v>77</v>
      </c>
      <c r="F43" s="2" t="s">
        <v>190</v>
      </c>
      <c r="G43" s="2" t="s">
        <v>30</v>
      </c>
      <c r="H43" s="2" t="s">
        <v>191</v>
      </c>
      <c r="I43" s="8" t="s">
        <v>484</v>
      </c>
    </row>
    <row r="44" spans="1:9" ht="26.4" hidden="1" x14ac:dyDescent="0.3">
      <c r="A44" s="2" t="s">
        <v>192</v>
      </c>
      <c r="B44" s="2" t="s">
        <v>193</v>
      </c>
      <c r="C44" s="2" t="s">
        <v>71</v>
      </c>
      <c r="D44" s="2" t="s">
        <v>161</v>
      </c>
      <c r="E44" s="4" t="s">
        <v>77</v>
      </c>
      <c r="F44" s="2" t="s">
        <v>194</v>
      </c>
      <c r="G44" s="2" t="s">
        <v>35</v>
      </c>
      <c r="H44" s="2" t="s">
        <v>195</v>
      </c>
      <c r="I44" s="8" t="s">
        <v>483</v>
      </c>
    </row>
    <row r="45" spans="1:9" ht="26.4" hidden="1" x14ac:dyDescent="0.3">
      <c r="A45" s="2" t="s">
        <v>196</v>
      </c>
      <c r="B45" s="2" t="s">
        <v>197</v>
      </c>
      <c r="C45" s="2" t="s">
        <v>134</v>
      </c>
      <c r="D45" s="2" t="s">
        <v>161</v>
      </c>
      <c r="E45" s="4" t="s">
        <v>77</v>
      </c>
      <c r="F45" s="2" t="s">
        <v>198</v>
      </c>
      <c r="G45" s="2" t="s">
        <v>30</v>
      </c>
      <c r="H45" s="2" t="s">
        <v>199</v>
      </c>
      <c r="I45" s="8" t="s">
        <v>483</v>
      </c>
    </row>
    <row r="46" spans="1:9" hidden="1" x14ac:dyDescent="0.3">
      <c r="A46" s="2" t="s">
        <v>200</v>
      </c>
      <c r="B46" s="2" t="s">
        <v>64</v>
      </c>
      <c r="C46" s="2" t="s">
        <v>201</v>
      </c>
      <c r="D46" s="2" t="s">
        <v>202</v>
      </c>
      <c r="E46" s="5" t="s">
        <v>203</v>
      </c>
      <c r="F46" s="2" t="s">
        <v>204</v>
      </c>
      <c r="G46" s="2" t="s">
        <v>14</v>
      </c>
      <c r="H46" s="2" t="s">
        <v>205</v>
      </c>
      <c r="I46" s="7" t="s">
        <v>482</v>
      </c>
    </row>
    <row r="47" spans="1:9" ht="26.4" x14ac:dyDescent="0.3">
      <c r="A47" s="2" t="s">
        <v>206</v>
      </c>
      <c r="B47" s="2" t="s">
        <v>41</v>
      </c>
      <c r="C47" s="2" t="s">
        <v>201</v>
      </c>
      <c r="D47" s="2" t="s">
        <v>202</v>
      </c>
      <c r="E47" s="5" t="s">
        <v>203</v>
      </c>
      <c r="F47" s="2" t="s">
        <v>207</v>
      </c>
      <c r="G47" s="2" t="s">
        <v>30</v>
      </c>
      <c r="H47" s="2" t="s">
        <v>208</v>
      </c>
      <c r="I47" s="8" t="s">
        <v>482</v>
      </c>
    </row>
    <row r="48" spans="1:9" ht="26.4" hidden="1" x14ac:dyDescent="0.3">
      <c r="A48" s="2" t="s">
        <v>209</v>
      </c>
      <c r="B48" s="2" t="s">
        <v>9</v>
      </c>
      <c r="C48" s="2" t="s">
        <v>210</v>
      </c>
      <c r="D48" s="2" t="s">
        <v>139</v>
      </c>
      <c r="E48" s="5" t="s">
        <v>203</v>
      </c>
      <c r="F48" s="2" t="s">
        <v>211</v>
      </c>
      <c r="G48" s="2" t="s">
        <v>14</v>
      </c>
      <c r="H48" s="2" t="s">
        <v>212</v>
      </c>
      <c r="I48" s="7" t="s">
        <v>482</v>
      </c>
    </row>
    <row r="49" spans="1:9" hidden="1" x14ac:dyDescent="0.3">
      <c r="A49" s="2" t="s">
        <v>213</v>
      </c>
      <c r="B49" s="2" t="s">
        <v>9</v>
      </c>
      <c r="C49" s="2" t="s">
        <v>214</v>
      </c>
      <c r="D49" s="2" t="s">
        <v>215</v>
      </c>
      <c r="E49" s="5" t="s">
        <v>203</v>
      </c>
      <c r="F49" s="2" t="s">
        <v>216</v>
      </c>
      <c r="G49" s="2" t="s">
        <v>14</v>
      </c>
      <c r="H49" s="2" t="s">
        <v>217</v>
      </c>
      <c r="I49" s="7" t="s">
        <v>482</v>
      </c>
    </row>
    <row r="50" spans="1:9" hidden="1" x14ac:dyDescent="0.3">
      <c r="A50" s="2" t="s">
        <v>218</v>
      </c>
      <c r="B50" s="2" t="s">
        <v>9</v>
      </c>
      <c r="C50" s="2" t="s">
        <v>134</v>
      </c>
      <c r="D50" s="2" t="s">
        <v>219</v>
      </c>
      <c r="E50" s="5" t="s">
        <v>203</v>
      </c>
      <c r="F50" s="2" t="s">
        <v>220</v>
      </c>
      <c r="G50" s="2" t="s">
        <v>14</v>
      </c>
      <c r="H50" s="2" t="s">
        <v>221</v>
      </c>
      <c r="I50" s="7" t="s">
        <v>482</v>
      </c>
    </row>
    <row r="51" spans="1:9" hidden="1" x14ac:dyDescent="0.3">
      <c r="A51" s="2" t="s">
        <v>222</v>
      </c>
      <c r="B51" s="2" t="s">
        <v>9</v>
      </c>
      <c r="C51" s="2" t="s">
        <v>223</v>
      </c>
      <c r="D51" s="2" t="s">
        <v>224</v>
      </c>
      <c r="E51" s="5" t="s">
        <v>203</v>
      </c>
      <c r="F51" s="2" t="s">
        <v>225</v>
      </c>
      <c r="G51" s="2" t="s">
        <v>14</v>
      </c>
      <c r="H51" s="2" t="s">
        <v>226</v>
      </c>
      <c r="I51" s="7" t="s">
        <v>482</v>
      </c>
    </row>
    <row r="52" spans="1:9" ht="39.6" hidden="1" x14ac:dyDescent="0.3">
      <c r="A52" s="2" t="s">
        <v>227</v>
      </c>
      <c r="B52" s="2" t="s">
        <v>9</v>
      </c>
      <c r="C52" s="2" t="s">
        <v>134</v>
      </c>
      <c r="D52" s="2" t="s">
        <v>228</v>
      </c>
      <c r="E52" s="5" t="s">
        <v>203</v>
      </c>
      <c r="F52" s="2" t="s">
        <v>229</v>
      </c>
      <c r="G52" s="2" t="s">
        <v>140</v>
      </c>
      <c r="H52" s="2" t="s">
        <v>230</v>
      </c>
      <c r="I52" s="8" t="s">
        <v>483</v>
      </c>
    </row>
    <row r="53" spans="1:9" ht="26.4" hidden="1" x14ac:dyDescent="0.3">
      <c r="A53" s="2" t="s">
        <v>231</v>
      </c>
      <c r="B53" s="2" t="s">
        <v>9</v>
      </c>
      <c r="C53" s="2" t="s">
        <v>150</v>
      </c>
      <c r="D53" s="2" t="s">
        <v>232</v>
      </c>
      <c r="E53" s="5" t="s">
        <v>203</v>
      </c>
      <c r="F53" s="2" t="s">
        <v>233</v>
      </c>
      <c r="G53" s="2" t="s">
        <v>14</v>
      </c>
      <c r="H53" s="2" t="s">
        <v>234</v>
      </c>
      <c r="I53" s="7" t="s">
        <v>482</v>
      </c>
    </row>
    <row r="54" spans="1:9" ht="26.4" hidden="1" x14ac:dyDescent="0.3">
      <c r="A54" s="2" t="s">
        <v>235</v>
      </c>
      <c r="B54" s="2" t="s">
        <v>9</v>
      </c>
      <c r="C54" s="2" t="s">
        <v>223</v>
      </c>
      <c r="D54" s="2" t="s">
        <v>236</v>
      </c>
      <c r="E54" s="5" t="s">
        <v>203</v>
      </c>
      <c r="F54" s="2" t="s">
        <v>237</v>
      </c>
      <c r="G54" s="2" t="s">
        <v>14</v>
      </c>
      <c r="H54" s="2" t="s">
        <v>238</v>
      </c>
      <c r="I54" s="7" t="s">
        <v>482</v>
      </c>
    </row>
    <row r="55" spans="1:9" hidden="1" x14ac:dyDescent="0.3">
      <c r="A55" s="2" t="s">
        <v>239</v>
      </c>
      <c r="B55" s="2" t="s">
        <v>64</v>
      </c>
      <c r="C55" s="2" t="s">
        <v>240</v>
      </c>
      <c r="D55" s="2" t="s">
        <v>215</v>
      </c>
      <c r="E55" s="5" t="s">
        <v>203</v>
      </c>
      <c r="F55" s="2" t="s">
        <v>241</v>
      </c>
      <c r="G55" s="2" t="s">
        <v>14</v>
      </c>
      <c r="H55" s="2" t="s">
        <v>242</v>
      </c>
      <c r="I55" s="7" t="s">
        <v>482</v>
      </c>
    </row>
    <row r="56" spans="1:9" ht="26.4" hidden="1" x14ac:dyDescent="0.3">
      <c r="A56" s="2" t="s">
        <v>243</v>
      </c>
      <c r="B56" s="2" t="s">
        <v>9</v>
      </c>
      <c r="C56" s="2" t="s">
        <v>244</v>
      </c>
      <c r="D56" s="2" t="s">
        <v>245</v>
      </c>
      <c r="E56" s="5" t="s">
        <v>203</v>
      </c>
      <c r="F56" s="2" t="s">
        <v>246</v>
      </c>
      <c r="G56" s="2" t="s">
        <v>14</v>
      </c>
      <c r="H56" s="2" t="s">
        <v>247</v>
      </c>
      <c r="I56" s="7" t="s">
        <v>482</v>
      </c>
    </row>
    <row r="57" spans="1:9" hidden="1" x14ac:dyDescent="0.3">
      <c r="A57" s="2" t="s">
        <v>248</v>
      </c>
      <c r="B57" s="2" t="s">
        <v>9</v>
      </c>
      <c r="C57" s="2" t="s">
        <v>85</v>
      </c>
      <c r="D57" s="2" t="s">
        <v>249</v>
      </c>
      <c r="E57" s="5" t="s">
        <v>203</v>
      </c>
      <c r="F57" s="2" t="s">
        <v>250</v>
      </c>
      <c r="G57" s="2" t="s">
        <v>14</v>
      </c>
      <c r="H57" s="2" t="s">
        <v>251</v>
      </c>
      <c r="I57" s="7" t="s">
        <v>482</v>
      </c>
    </row>
    <row r="58" spans="1:9" ht="26.4" hidden="1" x14ac:dyDescent="0.3">
      <c r="A58" s="2" t="s">
        <v>252</v>
      </c>
      <c r="B58" s="2" t="s">
        <v>64</v>
      </c>
      <c r="C58" s="2" t="s">
        <v>253</v>
      </c>
      <c r="D58" s="2" t="s">
        <v>254</v>
      </c>
      <c r="E58" s="5" t="s">
        <v>203</v>
      </c>
      <c r="F58" s="2" t="s">
        <v>34</v>
      </c>
      <c r="G58" s="2" t="s">
        <v>14</v>
      </c>
      <c r="H58" s="2" t="s">
        <v>255</v>
      </c>
      <c r="I58" s="7" t="s">
        <v>482</v>
      </c>
    </row>
    <row r="59" spans="1:9" ht="26.4" hidden="1" x14ac:dyDescent="0.3">
      <c r="A59" s="2" t="s">
        <v>256</v>
      </c>
      <c r="B59" s="2" t="s">
        <v>64</v>
      </c>
      <c r="C59" s="2" t="s">
        <v>257</v>
      </c>
      <c r="D59" s="2" t="s">
        <v>258</v>
      </c>
      <c r="E59" s="5" t="s">
        <v>203</v>
      </c>
      <c r="F59" s="2" t="s">
        <v>34</v>
      </c>
      <c r="G59" s="2" t="s">
        <v>30</v>
      </c>
      <c r="H59" s="2" t="s">
        <v>259</v>
      </c>
      <c r="I59" s="7" t="s">
        <v>483</v>
      </c>
    </row>
    <row r="60" spans="1:9" ht="26.4" hidden="1" x14ac:dyDescent="0.3">
      <c r="A60" s="2" t="s">
        <v>260</v>
      </c>
      <c r="B60" s="2" t="s">
        <v>64</v>
      </c>
      <c r="C60" s="2" t="s">
        <v>261</v>
      </c>
      <c r="D60" s="2" t="s">
        <v>262</v>
      </c>
      <c r="E60" s="5" t="s">
        <v>203</v>
      </c>
      <c r="F60" s="2" t="s">
        <v>263</v>
      </c>
      <c r="G60" s="2" t="s">
        <v>14</v>
      </c>
      <c r="H60" s="2" t="s">
        <v>264</v>
      </c>
      <c r="I60" s="7" t="s">
        <v>482</v>
      </c>
    </row>
    <row r="61" spans="1:9" ht="26.4" hidden="1" x14ac:dyDescent="0.3">
      <c r="A61" s="2" t="s">
        <v>265</v>
      </c>
      <c r="B61" s="2" t="s">
        <v>64</v>
      </c>
      <c r="C61" s="2" t="s">
        <v>266</v>
      </c>
      <c r="D61" s="2" t="s">
        <v>267</v>
      </c>
      <c r="E61" s="5" t="s">
        <v>203</v>
      </c>
      <c r="F61" s="2" t="s">
        <v>268</v>
      </c>
      <c r="G61" s="2" t="s">
        <v>140</v>
      </c>
      <c r="H61" s="2" t="s">
        <v>269</v>
      </c>
      <c r="I61" s="8" t="s">
        <v>483</v>
      </c>
    </row>
    <row r="62" spans="1:9" ht="26.4" x14ac:dyDescent="0.3">
      <c r="A62" s="2" t="s">
        <v>270</v>
      </c>
      <c r="B62" s="2" t="s">
        <v>41</v>
      </c>
      <c r="C62" s="2" t="s">
        <v>52</v>
      </c>
      <c r="D62" s="2" t="s">
        <v>184</v>
      </c>
      <c r="E62" s="5" t="s">
        <v>203</v>
      </c>
      <c r="F62" s="2" t="s">
        <v>34</v>
      </c>
      <c r="G62" s="2" t="s">
        <v>30</v>
      </c>
      <c r="H62" s="2" t="s">
        <v>271</v>
      </c>
      <c r="I62" s="8" t="s">
        <v>482</v>
      </c>
    </row>
    <row r="63" spans="1:9" ht="26.4" hidden="1" x14ac:dyDescent="0.3">
      <c r="A63" s="2" t="s">
        <v>272</v>
      </c>
      <c r="B63" s="2" t="s">
        <v>64</v>
      </c>
      <c r="C63" s="2" t="s">
        <v>202</v>
      </c>
      <c r="D63" s="2" t="s">
        <v>273</v>
      </c>
      <c r="E63" s="5" t="s">
        <v>203</v>
      </c>
      <c r="F63" s="2" t="s">
        <v>34</v>
      </c>
      <c r="G63" s="2" t="s">
        <v>14</v>
      </c>
      <c r="H63" s="2" t="s">
        <v>274</v>
      </c>
      <c r="I63" s="7" t="s">
        <v>482</v>
      </c>
    </row>
    <row r="64" spans="1:9" ht="26.4" hidden="1" x14ac:dyDescent="0.3">
      <c r="A64" s="2" t="s">
        <v>275</v>
      </c>
      <c r="B64" s="2" t="s">
        <v>276</v>
      </c>
      <c r="C64" s="2" t="s">
        <v>202</v>
      </c>
      <c r="D64" s="2" t="s">
        <v>277</v>
      </c>
      <c r="E64" s="5" t="s">
        <v>203</v>
      </c>
      <c r="F64" s="2" t="s">
        <v>34</v>
      </c>
      <c r="G64" s="2" t="s">
        <v>30</v>
      </c>
      <c r="H64" s="2" t="s">
        <v>278</v>
      </c>
      <c r="I64" s="8" t="s">
        <v>483</v>
      </c>
    </row>
    <row r="65" spans="1:9" ht="26.4" hidden="1" x14ac:dyDescent="0.3">
      <c r="A65" s="2" t="s">
        <v>279</v>
      </c>
      <c r="B65" s="2" t="s">
        <v>276</v>
      </c>
      <c r="C65" s="2" t="s">
        <v>202</v>
      </c>
      <c r="D65" s="2" t="s">
        <v>277</v>
      </c>
      <c r="E65" s="5" t="s">
        <v>203</v>
      </c>
      <c r="F65" s="2" t="s">
        <v>34</v>
      </c>
      <c r="G65" s="2" t="s">
        <v>30</v>
      </c>
      <c r="H65" s="2" t="s">
        <v>280</v>
      </c>
      <c r="I65" s="8" t="s">
        <v>483</v>
      </c>
    </row>
    <row r="66" spans="1:9" ht="26.4" hidden="1" x14ac:dyDescent="0.3">
      <c r="A66" s="2" t="s">
        <v>281</v>
      </c>
      <c r="B66" s="2" t="s">
        <v>9</v>
      </c>
      <c r="C66" s="2" t="s">
        <v>282</v>
      </c>
      <c r="D66" s="2" t="s">
        <v>283</v>
      </c>
      <c r="E66" s="5" t="s">
        <v>203</v>
      </c>
      <c r="F66" s="2" t="s">
        <v>284</v>
      </c>
      <c r="G66" s="2" t="s">
        <v>14</v>
      </c>
      <c r="H66" s="2" t="s">
        <v>285</v>
      </c>
      <c r="I66" s="7" t="s">
        <v>482</v>
      </c>
    </row>
    <row r="67" spans="1:9" ht="26.4" hidden="1" x14ac:dyDescent="0.3">
      <c r="A67" s="2" t="s">
        <v>286</v>
      </c>
      <c r="B67" s="2" t="s">
        <v>9</v>
      </c>
      <c r="C67" s="2" t="s">
        <v>134</v>
      </c>
      <c r="D67" s="2" t="s">
        <v>287</v>
      </c>
      <c r="E67" s="5" t="s">
        <v>203</v>
      </c>
      <c r="F67" s="2" t="s">
        <v>288</v>
      </c>
      <c r="G67" s="2" t="s">
        <v>14</v>
      </c>
      <c r="H67" s="2" t="s">
        <v>289</v>
      </c>
      <c r="I67" s="7" t="s">
        <v>482</v>
      </c>
    </row>
    <row r="68" spans="1:9" ht="26.4" hidden="1" x14ac:dyDescent="0.3">
      <c r="A68" s="2" t="s">
        <v>290</v>
      </c>
      <c r="B68" s="2" t="s">
        <v>9</v>
      </c>
      <c r="C68" s="2" t="s">
        <v>52</v>
      </c>
      <c r="D68" s="2" t="s">
        <v>291</v>
      </c>
      <c r="E68" s="5" t="s">
        <v>203</v>
      </c>
      <c r="F68" s="2" t="s">
        <v>34</v>
      </c>
      <c r="G68" s="2" t="s">
        <v>35</v>
      </c>
      <c r="H68" s="2" t="s">
        <v>292</v>
      </c>
      <c r="I68" s="8" t="s">
        <v>484</v>
      </c>
    </row>
    <row r="69" spans="1:9" ht="26.4" hidden="1" x14ac:dyDescent="0.3">
      <c r="A69" s="2" t="s">
        <v>293</v>
      </c>
      <c r="B69" s="2" t="s">
        <v>9</v>
      </c>
      <c r="C69" s="2" t="s">
        <v>294</v>
      </c>
      <c r="D69" s="2" t="s">
        <v>215</v>
      </c>
      <c r="E69" s="5" t="s">
        <v>203</v>
      </c>
      <c r="F69" s="2" t="s">
        <v>295</v>
      </c>
      <c r="G69" s="2" t="s">
        <v>14</v>
      </c>
      <c r="H69" s="2" t="s">
        <v>296</v>
      </c>
      <c r="I69" s="7" t="s">
        <v>482</v>
      </c>
    </row>
    <row r="70" spans="1:9" hidden="1" x14ac:dyDescent="0.3">
      <c r="A70" s="2" t="s">
        <v>297</v>
      </c>
      <c r="B70" s="2" t="s">
        <v>9</v>
      </c>
      <c r="C70" s="2" t="s">
        <v>52</v>
      </c>
      <c r="D70" s="2" t="s">
        <v>298</v>
      </c>
      <c r="E70" s="5" t="s">
        <v>203</v>
      </c>
      <c r="F70" s="2" t="s">
        <v>299</v>
      </c>
      <c r="G70" s="2" t="s">
        <v>14</v>
      </c>
      <c r="H70" s="2" t="s">
        <v>300</v>
      </c>
      <c r="I70" s="7" t="s">
        <v>482</v>
      </c>
    </row>
    <row r="71" spans="1:9" ht="26.4" hidden="1" x14ac:dyDescent="0.3">
      <c r="A71" s="2" t="s">
        <v>301</v>
      </c>
      <c r="B71" s="2" t="s">
        <v>9</v>
      </c>
      <c r="C71" s="2" t="s">
        <v>302</v>
      </c>
      <c r="D71" s="2" t="s">
        <v>215</v>
      </c>
      <c r="E71" s="5" t="s">
        <v>203</v>
      </c>
      <c r="F71" s="2" t="s">
        <v>303</v>
      </c>
      <c r="G71" s="2" t="s">
        <v>14</v>
      </c>
      <c r="H71" s="2" t="s">
        <v>304</v>
      </c>
      <c r="I71" s="7" t="s">
        <v>482</v>
      </c>
    </row>
    <row r="72" spans="1:9" ht="26.4" hidden="1" x14ac:dyDescent="0.3">
      <c r="A72" s="2" t="s">
        <v>305</v>
      </c>
      <c r="B72" s="2" t="s">
        <v>9</v>
      </c>
      <c r="C72" s="2" t="s">
        <v>143</v>
      </c>
      <c r="D72" s="2" t="s">
        <v>306</v>
      </c>
      <c r="E72" s="5" t="s">
        <v>203</v>
      </c>
      <c r="F72" s="2" t="s">
        <v>34</v>
      </c>
      <c r="G72" s="2" t="s">
        <v>30</v>
      </c>
      <c r="H72" s="2" t="s">
        <v>307</v>
      </c>
      <c r="I72" s="8" t="s">
        <v>484</v>
      </c>
    </row>
    <row r="73" spans="1:9" ht="26.4" hidden="1" x14ac:dyDescent="0.3">
      <c r="A73" s="2" t="s">
        <v>308</v>
      </c>
      <c r="B73" s="2" t="s">
        <v>9</v>
      </c>
      <c r="C73" s="2" t="s">
        <v>85</v>
      </c>
      <c r="D73" s="2" t="s">
        <v>309</v>
      </c>
      <c r="E73" s="5" t="s">
        <v>203</v>
      </c>
      <c r="F73" s="2" t="s">
        <v>34</v>
      </c>
      <c r="G73" s="2" t="s">
        <v>35</v>
      </c>
      <c r="H73" s="2" t="s">
        <v>310</v>
      </c>
      <c r="I73" s="8" t="s">
        <v>483</v>
      </c>
    </row>
    <row r="74" spans="1:9" ht="26.4" hidden="1" x14ac:dyDescent="0.3">
      <c r="A74" s="2" t="s">
        <v>311</v>
      </c>
      <c r="B74" s="2" t="s">
        <v>9</v>
      </c>
      <c r="C74" s="2" t="s">
        <v>85</v>
      </c>
      <c r="D74" s="2" t="s">
        <v>312</v>
      </c>
      <c r="E74" s="5" t="s">
        <v>203</v>
      </c>
      <c r="F74" s="2" t="s">
        <v>34</v>
      </c>
      <c r="G74" s="2" t="s">
        <v>30</v>
      </c>
      <c r="H74" s="2" t="s">
        <v>313</v>
      </c>
      <c r="I74" s="8" t="s">
        <v>484</v>
      </c>
    </row>
    <row r="75" spans="1:9" ht="26.4" hidden="1" x14ac:dyDescent="0.3">
      <c r="A75" s="2" t="s">
        <v>314</v>
      </c>
      <c r="B75" s="2" t="s">
        <v>9</v>
      </c>
      <c r="C75" s="2" t="s">
        <v>134</v>
      </c>
      <c r="D75" s="2" t="s">
        <v>215</v>
      </c>
      <c r="E75" s="5" t="s">
        <v>203</v>
      </c>
      <c r="F75" s="2" t="s">
        <v>315</v>
      </c>
      <c r="G75" s="2" t="s">
        <v>14</v>
      </c>
      <c r="H75" s="2" t="s">
        <v>316</v>
      </c>
      <c r="I75" s="7" t="s">
        <v>482</v>
      </c>
    </row>
    <row r="76" spans="1:9" ht="26.4" hidden="1" x14ac:dyDescent="0.3">
      <c r="A76" s="2" t="s">
        <v>317</v>
      </c>
      <c r="B76" s="2" t="s">
        <v>9</v>
      </c>
      <c r="C76" s="2" t="s">
        <v>318</v>
      </c>
      <c r="D76" s="2" t="s">
        <v>319</v>
      </c>
      <c r="E76" s="5" t="s">
        <v>203</v>
      </c>
      <c r="F76" s="2" t="s">
        <v>320</v>
      </c>
      <c r="G76" s="2" t="s">
        <v>14</v>
      </c>
      <c r="H76" s="2" t="s">
        <v>321</v>
      </c>
      <c r="I76" s="7" t="s">
        <v>482</v>
      </c>
    </row>
    <row r="77" spans="1:9" ht="26.4" hidden="1" x14ac:dyDescent="0.3">
      <c r="A77" s="2" t="s">
        <v>322</v>
      </c>
      <c r="B77" s="2" t="s">
        <v>9</v>
      </c>
      <c r="C77" s="2" t="s">
        <v>323</v>
      </c>
      <c r="D77" s="2" t="s">
        <v>324</v>
      </c>
      <c r="E77" s="5" t="s">
        <v>203</v>
      </c>
      <c r="F77" s="2" t="s">
        <v>325</v>
      </c>
      <c r="G77" s="2" t="s">
        <v>14</v>
      </c>
      <c r="H77" s="2" t="s">
        <v>326</v>
      </c>
      <c r="I77" s="7" t="s">
        <v>482</v>
      </c>
    </row>
    <row r="78" spans="1:9" hidden="1" x14ac:dyDescent="0.3">
      <c r="A78" s="2" t="s">
        <v>327</v>
      </c>
      <c r="B78" s="2" t="s">
        <v>9</v>
      </c>
      <c r="C78" s="2" t="s">
        <v>143</v>
      </c>
      <c r="D78" s="2" t="s">
        <v>306</v>
      </c>
      <c r="E78" s="5" t="s">
        <v>203</v>
      </c>
      <c r="F78" s="2" t="s">
        <v>328</v>
      </c>
      <c r="G78" s="2" t="s">
        <v>14</v>
      </c>
      <c r="H78" s="2" t="s">
        <v>329</v>
      </c>
      <c r="I78" s="7" t="s">
        <v>482</v>
      </c>
    </row>
    <row r="79" spans="1:9" hidden="1" x14ac:dyDescent="0.3">
      <c r="A79" s="2" t="s">
        <v>330</v>
      </c>
      <c r="B79" s="2" t="s">
        <v>9</v>
      </c>
      <c r="C79" s="2" t="s">
        <v>52</v>
      </c>
      <c r="D79" s="2" t="s">
        <v>331</v>
      </c>
      <c r="E79" s="5" t="s">
        <v>203</v>
      </c>
      <c r="F79" s="2" t="s">
        <v>332</v>
      </c>
      <c r="G79" s="2" t="s">
        <v>14</v>
      </c>
      <c r="H79" s="2" t="s">
        <v>333</v>
      </c>
      <c r="I79" s="7" t="s">
        <v>482</v>
      </c>
    </row>
    <row r="80" spans="1:9" ht="26.4" hidden="1" x14ac:dyDescent="0.3">
      <c r="A80" s="2" t="s">
        <v>334</v>
      </c>
      <c r="B80" s="2" t="s">
        <v>335</v>
      </c>
      <c r="C80" s="2" t="s">
        <v>336</v>
      </c>
      <c r="D80" s="2" t="s">
        <v>337</v>
      </c>
      <c r="E80" s="5" t="s">
        <v>203</v>
      </c>
      <c r="F80" s="2" t="s">
        <v>34</v>
      </c>
      <c r="G80" s="2" t="s">
        <v>35</v>
      </c>
      <c r="H80" s="2" t="s">
        <v>338</v>
      </c>
      <c r="I80" s="7" t="s">
        <v>484</v>
      </c>
    </row>
    <row r="81" spans="1:9" ht="26.4" hidden="1" x14ac:dyDescent="0.3">
      <c r="A81" s="2" t="s">
        <v>339</v>
      </c>
      <c r="B81" s="2" t="s">
        <v>9</v>
      </c>
      <c r="C81" s="2" t="s">
        <v>340</v>
      </c>
      <c r="D81" s="2" t="s">
        <v>341</v>
      </c>
      <c r="E81" s="5" t="s">
        <v>203</v>
      </c>
      <c r="F81" s="2" t="s">
        <v>34</v>
      </c>
      <c r="G81" s="2" t="s">
        <v>140</v>
      </c>
      <c r="H81" s="2" t="s">
        <v>342</v>
      </c>
      <c r="I81" s="8" t="s">
        <v>484</v>
      </c>
    </row>
    <row r="82" spans="1:9" hidden="1" x14ac:dyDescent="0.3">
      <c r="A82" s="2" t="s">
        <v>343</v>
      </c>
      <c r="B82" s="2" t="s">
        <v>9</v>
      </c>
      <c r="C82" s="2" t="s">
        <v>42</v>
      </c>
      <c r="D82" s="2" t="s">
        <v>344</v>
      </c>
      <c r="E82" s="5" t="s">
        <v>203</v>
      </c>
      <c r="F82" s="2" t="s">
        <v>34</v>
      </c>
      <c r="G82" s="2" t="s">
        <v>140</v>
      </c>
      <c r="H82" s="2" t="s">
        <v>345</v>
      </c>
      <c r="I82" s="8" t="s">
        <v>484</v>
      </c>
    </row>
    <row r="83" spans="1:9" ht="26.4" x14ac:dyDescent="0.3">
      <c r="A83" s="2" t="s">
        <v>346</v>
      </c>
      <c r="B83" s="2" t="s">
        <v>347</v>
      </c>
      <c r="C83" s="2" t="s">
        <v>134</v>
      </c>
      <c r="D83" s="2" t="s">
        <v>348</v>
      </c>
      <c r="E83" s="5" t="s">
        <v>203</v>
      </c>
      <c r="F83" s="2" t="s">
        <v>349</v>
      </c>
      <c r="G83" s="2" t="s">
        <v>30</v>
      </c>
      <c r="H83" s="2" t="s">
        <v>350</v>
      </c>
      <c r="I83" s="8" t="s">
        <v>483</v>
      </c>
    </row>
    <row r="84" spans="1:9" ht="39.6" hidden="1" x14ac:dyDescent="0.3">
      <c r="A84" s="2" t="s">
        <v>351</v>
      </c>
      <c r="B84" s="2" t="s">
        <v>352</v>
      </c>
      <c r="C84" s="2" t="s">
        <v>52</v>
      </c>
      <c r="D84" s="2" t="s">
        <v>287</v>
      </c>
      <c r="E84" s="5" t="s">
        <v>203</v>
      </c>
      <c r="F84" s="2" t="s">
        <v>353</v>
      </c>
      <c r="G84" s="2" t="s">
        <v>140</v>
      </c>
      <c r="H84" s="2" t="s">
        <v>354</v>
      </c>
      <c r="I84" s="8" t="s">
        <v>483</v>
      </c>
    </row>
    <row r="85" spans="1:9" ht="26.4" hidden="1" x14ac:dyDescent="0.3">
      <c r="A85" s="2" t="s">
        <v>355</v>
      </c>
      <c r="B85" s="2" t="s">
        <v>356</v>
      </c>
      <c r="C85" s="2" t="s">
        <v>52</v>
      </c>
      <c r="D85" s="2" t="s">
        <v>357</v>
      </c>
      <c r="E85" s="5" t="s">
        <v>203</v>
      </c>
      <c r="F85" s="2" t="s">
        <v>358</v>
      </c>
      <c r="G85" s="2" t="s">
        <v>14</v>
      </c>
      <c r="H85" s="2" t="s">
        <v>359</v>
      </c>
      <c r="I85" s="7" t="s">
        <v>482</v>
      </c>
    </row>
    <row r="86" spans="1:9" ht="26.4" hidden="1" x14ac:dyDescent="0.3">
      <c r="A86" s="2" t="s">
        <v>360</v>
      </c>
      <c r="B86" s="2" t="s">
        <v>9</v>
      </c>
      <c r="C86" s="2" t="s">
        <v>134</v>
      </c>
      <c r="D86" s="2" t="s">
        <v>361</v>
      </c>
      <c r="E86" s="6" t="s">
        <v>362</v>
      </c>
      <c r="F86" s="2" t="s">
        <v>363</v>
      </c>
      <c r="G86" s="2" t="s">
        <v>140</v>
      </c>
      <c r="H86" s="2" t="s">
        <v>364</v>
      </c>
      <c r="I86" s="8" t="s">
        <v>484</v>
      </c>
    </row>
    <row r="87" spans="1:9" hidden="1" x14ac:dyDescent="0.3">
      <c r="A87" s="2" t="s">
        <v>365</v>
      </c>
      <c r="B87" s="2" t="s">
        <v>9</v>
      </c>
      <c r="C87" s="2" t="s">
        <v>223</v>
      </c>
      <c r="D87" s="2" t="s">
        <v>366</v>
      </c>
      <c r="E87" s="6" t="s">
        <v>362</v>
      </c>
      <c r="F87" s="2" t="s">
        <v>367</v>
      </c>
      <c r="G87" s="2" t="s">
        <v>14</v>
      </c>
      <c r="H87" s="2" t="s">
        <v>368</v>
      </c>
      <c r="I87" s="7" t="s">
        <v>482</v>
      </c>
    </row>
    <row r="88" spans="1:9" hidden="1" x14ac:dyDescent="0.3">
      <c r="A88" s="2" t="s">
        <v>369</v>
      </c>
      <c r="B88" s="2" t="s">
        <v>9</v>
      </c>
      <c r="C88" s="2" t="s">
        <v>370</v>
      </c>
      <c r="D88" s="2" t="s">
        <v>371</v>
      </c>
      <c r="E88" s="6" t="s">
        <v>362</v>
      </c>
      <c r="F88" s="2" t="s">
        <v>372</v>
      </c>
      <c r="G88" s="2" t="s">
        <v>14</v>
      </c>
      <c r="H88" s="2" t="s">
        <v>373</v>
      </c>
      <c r="I88" s="7" t="s">
        <v>482</v>
      </c>
    </row>
    <row r="89" spans="1:9" ht="26.4" hidden="1" x14ac:dyDescent="0.3">
      <c r="A89" s="2" t="s">
        <v>374</v>
      </c>
      <c r="B89" s="2" t="s">
        <v>64</v>
      </c>
      <c r="C89" s="2" t="s">
        <v>52</v>
      </c>
      <c r="D89" s="2" t="s">
        <v>375</v>
      </c>
      <c r="E89" s="6" t="s">
        <v>362</v>
      </c>
      <c r="F89" s="2" t="s">
        <v>34</v>
      </c>
      <c r="G89" s="2" t="s">
        <v>82</v>
      </c>
      <c r="H89" s="2" t="s">
        <v>376</v>
      </c>
      <c r="I89" s="8" t="s">
        <v>483</v>
      </c>
    </row>
    <row r="90" spans="1:9" hidden="1" x14ac:dyDescent="0.3">
      <c r="A90" s="2" t="s">
        <v>377</v>
      </c>
      <c r="B90" s="2" t="s">
        <v>64</v>
      </c>
      <c r="C90" s="2" t="s">
        <v>378</v>
      </c>
      <c r="D90" s="2" t="s">
        <v>375</v>
      </c>
      <c r="E90" s="6" t="s">
        <v>362</v>
      </c>
      <c r="F90" s="2" t="s">
        <v>379</v>
      </c>
      <c r="G90" s="2" t="s">
        <v>14</v>
      </c>
      <c r="H90" s="2" t="s">
        <v>380</v>
      </c>
      <c r="I90" s="7" t="s">
        <v>482</v>
      </c>
    </row>
    <row r="91" spans="1:9" ht="52.8" hidden="1" x14ac:dyDescent="0.3">
      <c r="A91" s="2" t="s">
        <v>381</v>
      </c>
      <c r="B91" s="2" t="s">
        <v>64</v>
      </c>
      <c r="C91" s="2" t="s">
        <v>134</v>
      </c>
      <c r="D91" s="2" t="s">
        <v>382</v>
      </c>
      <c r="E91" s="6" t="s">
        <v>362</v>
      </c>
      <c r="F91" s="2" t="s">
        <v>34</v>
      </c>
      <c r="G91" s="2" t="s">
        <v>35</v>
      </c>
      <c r="H91" s="2" t="s">
        <v>383</v>
      </c>
      <c r="I91" s="8" t="s">
        <v>483</v>
      </c>
    </row>
    <row r="92" spans="1:9" ht="26.4" hidden="1" x14ac:dyDescent="0.3">
      <c r="A92" s="2" t="s">
        <v>384</v>
      </c>
      <c r="B92" s="2" t="s">
        <v>64</v>
      </c>
      <c r="C92" s="2" t="s">
        <v>385</v>
      </c>
      <c r="D92" s="2" t="s">
        <v>375</v>
      </c>
      <c r="E92" s="6" t="s">
        <v>362</v>
      </c>
      <c r="F92" s="2" t="s">
        <v>386</v>
      </c>
      <c r="G92" s="2" t="s">
        <v>14</v>
      </c>
      <c r="H92" s="2" t="s">
        <v>387</v>
      </c>
      <c r="I92" s="7" t="s">
        <v>482</v>
      </c>
    </row>
    <row r="93" spans="1:9" ht="26.4" hidden="1" x14ac:dyDescent="0.3">
      <c r="A93" s="2" t="s">
        <v>388</v>
      </c>
      <c r="B93" s="2" t="s">
        <v>9</v>
      </c>
      <c r="C93" s="2" t="s">
        <v>389</v>
      </c>
      <c r="D93" s="2" t="s">
        <v>390</v>
      </c>
      <c r="E93" s="6" t="s">
        <v>362</v>
      </c>
      <c r="F93" s="2" t="s">
        <v>34</v>
      </c>
      <c r="G93" s="2" t="s">
        <v>82</v>
      </c>
      <c r="H93" s="2" t="s">
        <v>391</v>
      </c>
      <c r="I93" s="8" t="s">
        <v>483</v>
      </c>
    </row>
    <row r="94" spans="1:9" ht="26.4" hidden="1" x14ac:dyDescent="0.3">
      <c r="A94" s="2" t="s">
        <v>392</v>
      </c>
      <c r="B94" s="2" t="s">
        <v>9</v>
      </c>
      <c r="C94" s="2" t="s">
        <v>389</v>
      </c>
      <c r="D94" s="2" t="s">
        <v>390</v>
      </c>
      <c r="E94" s="6" t="s">
        <v>362</v>
      </c>
      <c r="F94" s="2" t="s">
        <v>393</v>
      </c>
      <c r="G94" s="2" t="s">
        <v>140</v>
      </c>
      <c r="H94" s="2" t="s">
        <v>394</v>
      </c>
      <c r="I94" s="7" t="s">
        <v>483</v>
      </c>
    </row>
    <row r="95" spans="1:9" ht="26.4" hidden="1" x14ac:dyDescent="0.3">
      <c r="A95" s="2" t="s">
        <v>395</v>
      </c>
      <c r="B95" s="2" t="s">
        <v>9</v>
      </c>
      <c r="C95" s="2" t="s">
        <v>175</v>
      </c>
      <c r="D95" s="2" t="s">
        <v>396</v>
      </c>
      <c r="E95" s="6" t="s">
        <v>362</v>
      </c>
      <c r="F95" s="2" t="s">
        <v>397</v>
      </c>
      <c r="G95" s="2" t="s">
        <v>35</v>
      </c>
      <c r="H95" s="2" t="s">
        <v>398</v>
      </c>
      <c r="I95" s="8" t="s">
        <v>483</v>
      </c>
    </row>
    <row r="96" spans="1:9" ht="39.6" hidden="1" x14ac:dyDescent="0.3">
      <c r="A96" s="2" t="s">
        <v>399</v>
      </c>
      <c r="B96" s="2" t="s">
        <v>9</v>
      </c>
      <c r="C96" s="2" t="s">
        <v>389</v>
      </c>
      <c r="D96" s="2" t="s">
        <v>390</v>
      </c>
      <c r="E96" s="6" t="s">
        <v>362</v>
      </c>
      <c r="F96" s="2" t="s">
        <v>400</v>
      </c>
      <c r="G96" s="2" t="s">
        <v>30</v>
      </c>
      <c r="H96" s="2" t="s">
        <v>401</v>
      </c>
      <c r="I96" s="8" t="s">
        <v>483</v>
      </c>
    </row>
    <row r="97" spans="1:9" hidden="1" x14ac:dyDescent="0.3">
      <c r="A97" s="2" t="s">
        <v>402</v>
      </c>
      <c r="B97" s="2" t="s">
        <v>9</v>
      </c>
      <c r="C97" s="2" t="s">
        <v>244</v>
      </c>
      <c r="D97" s="2" t="s">
        <v>403</v>
      </c>
      <c r="E97" s="6" t="s">
        <v>362</v>
      </c>
      <c r="F97" s="2" t="s">
        <v>404</v>
      </c>
      <c r="G97" s="2" t="s">
        <v>14</v>
      </c>
      <c r="H97" s="2" t="s">
        <v>405</v>
      </c>
      <c r="I97" s="7" t="s">
        <v>482</v>
      </c>
    </row>
    <row r="98" spans="1:9" ht="39.6" x14ac:dyDescent="0.3">
      <c r="A98" s="2" t="s">
        <v>406</v>
      </c>
      <c r="B98" s="2" t="s">
        <v>407</v>
      </c>
      <c r="C98" s="2" t="s">
        <v>175</v>
      </c>
      <c r="D98" s="2" t="s">
        <v>408</v>
      </c>
      <c r="E98" s="6" t="s">
        <v>362</v>
      </c>
      <c r="F98" s="2" t="s">
        <v>34</v>
      </c>
      <c r="G98" s="2" t="s">
        <v>82</v>
      </c>
      <c r="H98" s="2" t="s">
        <v>409</v>
      </c>
      <c r="I98" s="8" t="s">
        <v>483</v>
      </c>
    </row>
    <row r="99" spans="1:9" ht="26.4" x14ac:dyDescent="0.3">
      <c r="A99" s="2" t="s">
        <v>410</v>
      </c>
      <c r="B99" s="2" t="s">
        <v>407</v>
      </c>
      <c r="C99" s="2" t="s">
        <v>389</v>
      </c>
      <c r="D99" s="2" t="s">
        <v>390</v>
      </c>
      <c r="E99" s="6" t="s">
        <v>362</v>
      </c>
      <c r="F99" s="2" t="s">
        <v>34</v>
      </c>
      <c r="G99" s="2" t="s">
        <v>82</v>
      </c>
      <c r="H99" s="2" t="s">
        <v>411</v>
      </c>
      <c r="I99" s="8" t="s">
        <v>483</v>
      </c>
    </row>
    <row r="100" spans="1:9" ht="26.4" x14ac:dyDescent="0.3">
      <c r="A100" s="2" t="s">
        <v>412</v>
      </c>
      <c r="B100" s="2" t="s">
        <v>41</v>
      </c>
      <c r="C100" s="2" t="s">
        <v>52</v>
      </c>
      <c r="D100" s="2" t="s">
        <v>413</v>
      </c>
      <c r="E100" s="6" t="s">
        <v>362</v>
      </c>
      <c r="F100" s="2" t="s">
        <v>414</v>
      </c>
      <c r="G100" s="2" t="s">
        <v>35</v>
      </c>
      <c r="H100" s="2" t="s">
        <v>415</v>
      </c>
      <c r="I100" s="8" t="s">
        <v>482</v>
      </c>
    </row>
    <row r="101" spans="1:9" ht="26.4" hidden="1" x14ac:dyDescent="0.3">
      <c r="A101" s="2" t="s">
        <v>416</v>
      </c>
      <c r="B101" s="2" t="s">
        <v>417</v>
      </c>
      <c r="C101" s="2" t="s">
        <v>418</v>
      </c>
      <c r="D101" s="2" t="s">
        <v>419</v>
      </c>
      <c r="E101" s="6" t="s">
        <v>362</v>
      </c>
      <c r="F101" s="2" t="s">
        <v>34</v>
      </c>
      <c r="G101" s="2" t="s">
        <v>82</v>
      </c>
      <c r="H101" s="2" t="s">
        <v>420</v>
      </c>
      <c r="I101" s="7" t="s">
        <v>483</v>
      </c>
    </row>
    <row r="102" spans="1:9" ht="26.4" hidden="1" x14ac:dyDescent="0.3">
      <c r="A102" s="2" t="s">
        <v>421</v>
      </c>
      <c r="B102" s="2" t="s">
        <v>9</v>
      </c>
      <c r="C102" s="2" t="s">
        <v>422</v>
      </c>
      <c r="D102" s="2" t="s">
        <v>423</v>
      </c>
      <c r="E102" s="6" t="s">
        <v>362</v>
      </c>
      <c r="F102" s="2" t="s">
        <v>424</v>
      </c>
      <c r="G102" s="2" t="s">
        <v>140</v>
      </c>
      <c r="H102" s="2" t="s">
        <v>425</v>
      </c>
      <c r="I102" s="7" t="s">
        <v>484</v>
      </c>
    </row>
    <row r="103" spans="1:9" ht="26.4" hidden="1" x14ac:dyDescent="0.3">
      <c r="A103" s="2" t="s">
        <v>426</v>
      </c>
      <c r="B103" s="2" t="s">
        <v>9</v>
      </c>
      <c r="C103" s="2" t="s">
        <v>427</v>
      </c>
      <c r="D103" s="2" t="s">
        <v>428</v>
      </c>
      <c r="E103" s="6" t="s">
        <v>362</v>
      </c>
      <c r="F103" s="2" t="s">
        <v>34</v>
      </c>
      <c r="G103" s="2" t="s">
        <v>30</v>
      </c>
      <c r="H103" s="2" t="s">
        <v>429</v>
      </c>
      <c r="I103" s="7" t="s">
        <v>483</v>
      </c>
    </row>
    <row r="104" spans="1:9" ht="26.4" hidden="1" x14ac:dyDescent="0.3">
      <c r="A104" s="2" t="s">
        <v>430</v>
      </c>
      <c r="B104" s="2" t="s">
        <v>64</v>
      </c>
      <c r="C104" s="2" t="s">
        <v>431</v>
      </c>
      <c r="D104" s="2" t="s">
        <v>273</v>
      </c>
      <c r="E104" s="6" t="s">
        <v>362</v>
      </c>
      <c r="F104" s="2" t="s">
        <v>34</v>
      </c>
      <c r="G104" s="2" t="s">
        <v>14</v>
      </c>
      <c r="H104" s="2" t="s">
        <v>432</v>
      </c>
      <c r="I104" s="7" t="s">
        <v>482</v>
      </c>
    </row>
    <row r="105" spans="1:9" ht="26.4" hidden="1" x14ac:dyDescent="0.3">
      <c r="A105" s="2" t="s">
        <v>433</v>
      </c>
      <c r="B105" s="2" t="s">
        <v>64</v>
      </c>
      <c r="C105" s="2" t="s">
        <v>434</v>
      </c>
      <c r="D105" s="2" t="s">
        <v>435</v>
      </c>
      <c r="E105" s="6" t="s">
        <v>362</v>
      </c>
      <c r="F105" s="2" t="s">
        <v>34</v>
      </c>
      <c r="G105" s="2" t="s">
        <v>30</v>
      </c>
      <c r="H105" s="2" t="s">
        <v>436</v>
      </c>
      <c r="I105" s="8" t="s">
        <v>484</v>
      </c>
    </row>
    <row r="106" spans="1:9" ht="26.4" hidden="1" x14ac:dyDescent="0.3">
      <c r="A106" s="2" t="s">
        <v>437</v>
      </c>
      <c r="B106" s="2" t="s">
        <v>64</v>
      </c>
      <c r="C106" s="2" t="s">
        <v>202</v>
      </c>
      <c r="D106" s="2" t="s">
        <v>438</v>
      </c>
      <c r="E106" s="6" t="s">
        <v>362</v>
      </c>
      <c r="F106" s="2" t="s">
        <v>34</v>
      </c>
      <c r="G106" s="2" t="s">
        <v>30</v>
      </c>
      <c r="H106" s="2" t="s">
        <v>439</v>
      </c>
      <c r="I106" s="8" t="s">
        <v>483</v>
      </c>
    </row>
    <row r="107" spans="1:9" hidden="1" x14ac:dyDescent="0.3">
      <c r="A107" s="2" t="s">
        <v>440</v>
      </c>
      <c r="B107" s="2" t="s">
        <v>64</v>
      </c>
      <c r="C107" s="2" t="s">
        <v>441</v>
      </c>
      <c r="D107" s="2" t="s">
        <v>319</v>
      </c>
      <c r="E107" s="6" t="s">
        <v>362</v>
      </c>
      <c r="F107" s="2" t="s">
        <v>34</v>
      </c>
      <c r="G107" s="2" t="s">
        <v>14</v>
      </c>
      <c r="H107" s="2" t="s">
        <v>442</v>
      </c>
      <c r="I107" s="7" t="s">
        <v>482</v>
      </c>
    </row>
    <row r="108" spans="1:9" ht="26.4" hidden="1" x14ac:dyDescent="0.3">
      <c r="A108" s="2" t="s">
        <v>443</v>
      </c>
      <c r="B108" s="2" t="s">
        <v>64</v>
      </c>
      <c r="C108" s="2" t="s">
        <v>444</v>
      </c>
      <c r="D108" s="2" t="s">
        <v>445</v>
      </c>
      <c r="E108" s="6" t="s">
        <v>362</v>
      </c>
      <c r="F108" s="2" t="s">
        <v>34</v>
      </c>
      <c r="G108" s="2" t="s">
        <v>30</v>
      </c>
      <c r="H108" s="2" t="s">
        <v>446</v>
      </c>
      <c r="I108" s="8" t="s">
        <v>484</v>
      </c>
    </row>
    <row r="109" spans="1:9" hidden="1" x14ac:dyDescent="0.3">
      <c r="A109" s="2" t="s">
        <v>447</v>
      </c>
      <c r="B109" s="2" t="s">
        <v>276</v>
      </c>
      <c r="C109" s="2" t="s">
        <v>202</v>
      </c>
      <c r="D109" s="2" t="s">
        <v>277</v>
      </c>
      <c r="E109" s="6" t="s">
        <v>362</v>
      </c>
      <c r="F109" s="2" t="s">
        <v>34</v>
      </c>
      <c r="G109" s="2" t="s">
        <v>30</v>
      </c>
      <c r="H109" s="2" t="s">
        <v>448</v>
      </c>
      <c r="I109" s="8" t="s">
        <v>483</v>
      </c>
    </row>
    <row r="110" spans="1:9" ht="26.4" hidden="1" x14ac:dyDescent="0.3">
      <c r="A110" s="2" t="s">
        <v>449</v>
      </c>
      <c r="B110" s="2" t="s">
        <v>9</v>
      </c>
      <c r="C110" s="2" t="s">
        <v>134</v>
      </c>
      <c r="D110" s="2" t="s">
        <v>450</v>
      </c>
      <c r="E110" s="6" t="s">
        <v>362</v>
      </c>
      <c r="F110" s="2" t="s">
        <v>34</v>
      </c>
      <c r="G110" s="2" t="s">
        <v>35</v>
      </c>
      <c r="H110" s="2" t="s">
        <v>451</v>
      </c>
      <c r="I110" s="8" t="s">
        <v>483</v>
      </c>
    </row>
    <row r="111" spans="1:9" ht="26.4" hidden="1" x14ac:dyDescent="0.3">
      <c r="A111" s="2" t="s">
        <v>452</v>
      </c>
      <c r="B111" s="2" t="s">
        <v>9</v>
      </c>
      <c r="C111" s="2" t="s">
        <v>52</v>
      </c>
      <c r="D111" s="2" t="s">
        <v>453</v>
      </c>
      <c r="E111" s="6" t="s">
        <v>362</v>
      </c>
      <c r="F111" s="2" t="s">
        <v>34</v>
      </c>
      <c r="G111" s="2" t="s">
        <v>82</v>
      </c>
      <c r="H111" s="2" t="s">
        <v>454</v>
      </c>
      <c r="I111" s="8" t="s">
        <v>483</v>
      </c>
    </row>
    <row r="112" spans="1:9" hidden="1" x14ac:dyDescent="0.3">
      <c r="A112" s="2" t="s">
        <v>455</v>
      </c>
      <c r="B112" s="2" t="s">
        <v>9</v>
      </c>
      <c r="C112" s="2" t="s">
        <v>52</v>
      </c>
      <c r="D112" s="2" t="s">
        <v>453</v>
      </c>
      <c r="E112" s="6" t="s">
        <v>362</v>
      </c>
      <c r="F112" s="2" t="s">
        <v>34</v>
      </c>
      <c r="G112" s="2" t="s">
        <v>82</v>
      </c>
      <c r="H112" s="2" t="s">
        <v>456</v>
      </c>
      <c r="I112" s="8" t="s">
        <v>483</v>
      </c>
    </row>
    <row r="113" spans="1:9" hidden="1" x14ac:dyDescent="0.3">
      <c r="A113" s="2" t="s">
        <v>457</v>
      </c>
      <c r="B113" s="2" t="s">
        <v>9</v>
      </c>
      <c r="C113" s="2" t="s">
        <v>52</v>
      </c>
      <c r="D113" s="2" t="s">
        <v>215</v>
      </c>
      <c r="E113" s="6" t="s">
        <v>362</v>
      </c>
      <c r="F113" s="2" t="s">
        <v>458</v>
      </c>
      <c r="G113" s="2" t="s">
        <v>14</v>
      </c>
      <c r="H113" s="2" t="s">
        <v>459</v>
      </c>
      <c r="I113" s="7" t="s">
        <v>482</v>
      </c>
    </row>
    <row r="114" spans="1:9" ht="26.4" hidden="1" x14ac:dyDescent="0.3">
      <c r="A114" s="2" t="s">
        <v>460</v>
      </c>
      <c r="B114" s="2" t="s">
        <v>9</v>
      </c>
      <c r="C114" s="2" t="s">
        <v>323</v>
      </c>
      <c r="D114" s="2" t="s">
        <v>324</v>
      </c>
      <c r="E114" s="6" t="s">
        <v>362</v>
      </c>
      <c r="F114" s="2" t="s">
        <v>34</v>
      </c>
      <c r="G114" s="2" t="s">
        <v>35</v>
      </c>
      <c r="H114" s="2" t="s">
        <v>461</v>
      </c>
      <c r="I114" s="7" t="s">
        <v>483</v>
      </c>
    </row>
    <row r="115" spans="1:9" ht="26.4" hidden="1" x14ac:dyDescent="0.3">
      <c r="A115" s="2" t="s">
        <v>462</v>
      </c>
      <c r="B115" s="2" t="s">
        <v>9</v>
      </c>
      <c r="C115" s="2" t="s">
        <v>323</v>
      </c>
      <c r="D115" s="2" t="s">
        <v>324</v>
      </c>
      <c r="E115" s="6" t="s">
        <v>362</v>
      </c>
      <c r="F115" s="2" t="s">
        <v>34</v>
      </c>
      <c r="G115" s="2" t="s">
        <v>82</v>
      </c>
      <c r="H115" s="2" t="s">
        <v>463</v>
      </c>
      <c r="I115" s="8" t="s">
        <v>484</v>
      </c>
    </row>
    <row r="116" spans="1:9" hidden="1" x14ac:dyDescent="0.3">
      <c r="A116" s="2" t="s">
        <v>464</v>
      </c>
      <c r="B116" s="2" t="s">
        <v>9</v>
      </c>
      <c r="C116" s="2" t="s">
        <v>52</v>
      </c>
      <c r="D116" s="2" t="s">
        <v>215</v>
      </c>
      <c r="E116" s="6" t="s">
        <v>362</v>
      </c>
      <c r="F116" s="2" t="s">
        <v>34</v>
      </c>
      <c r="G116" s="2" t="s">
        <v>140</v>
      </c>
      <c r="H116" s="2" t="s">
        <v>465</v>
      </c>
      <c r="I116" s="7" t="s">
        <v>484</v>
      </c>
    </row>
    <row r="117" spans="1:9" ht="26.4" hidden="1" x14ac:dyDescent="0.3">
      <c r="A117" s="2" t="s">
        <v>466</v>
      </c>
      <c r="B117" s="2" t="s">
        <v>9</v>
      </c>
      <c r="C117" s="2" t="s">
        <v>52</v>
      </c>
      <c r="D117" s="2" t="s">
        <v>467</v>
      </c>
      <c r="E117" s="6" t="s">
        <v>362</v>
      </c>
      <c r="F117" s="2" t="s">
        <v>34</v>
      </c>
      <c r="G117" s="2" t="s">
        <v>140</v>
      </c>
      <c r="H117" s="2" t="s">
        <v>468</v>
      </c>
      <c r="I117" s="7" t="s">
        <v>483</v>
      </c>
    </row>
    <row r="118" spans="1:9" ht="26.4" hidden="1" x14ac:dyDescent="0.3">
      <c r="A118" s="2" t="s">
        <v>469</v>
      </c>
      <c r="B118" s="2" t="s">
        <v>9</v>
      </c>
      <c r="C118" s="2" t="s">
        <v>389</v>
      </c>
      <c r="D118" s="2" t="s">
        <v>390</v>
      </c>
      <c r="E118" s="6" t="s">
        <v>362</v>
      </c>
      <c r="F118" s="2" t="s">
        <v>34</v>
      </c>
      <c r="G118" s="2" t="s">
        <v>82</v>
      </c>
      <c r="H118" s="2" t="s">
        <v>470</v>
      </c>
      <c r="I118" s="8" t="s">
        <v>483</v>
      </c>
    </row>
    <row r="119" spans="1:9" ht="26.4" hidden="1" x14ac:dyDescent="0.3">
      <c r="A119" s="2" t="s">
        <v>471</v>
      </c>
      <c r="B119" s="2" t="s">
        <v>9</v>
      </c>
      <c r="C119" s="2" t="s">
        <v>318</v>
      </c>
      <c r="D119" s="2" t="s">
        <v>472</v>
      </c>
      <c r="E119" s="6" t="s">
        <v>362</v>
      </c>
      <c r="F119" s="2" t="s">
        <v>473</v>
      </c>
      <c r="G119" s="2" t="s">
        <v>14</v>
      </c>
      <c r="H119" s="2" t="s">
        <v>474</v>
      </c>
      <c r="I119" s="7" t="s">
        <v>482</v>
      </c>
    </row>
    <row r="120" spans="1:9" ht="26.4" hidden="1" x14ac:dyDescent="0.3">
      <c r="A120" s="2" t="s">
        <v>475</v>
      </c>
      <c r="B120" s="2" t="s">
        <v>9</v>
      </c>
      <c r="C120" s="2" t="s">
        <v>476</v>
      </c>
      <c r="D120" s="2" t="s">
        <v>477</v>
      </c>
      <c r="E120" s="6" t="s">
        <v>362</v>
      </c>
      <c r="F120" s="2" t="s">
        <v>34</v>
      </c>
      <c r="G120" s="2" t="s">
        <v>82</v>
      </c>
      <c r="H120" s="2" t="s">
        <v>478</v>
      </c>
      <c r="I120" s="8" t="s">
        <v>483</v>
      </c>
    </row>
    <row r="121" spans="1:9" ht="26.4" hidden="1" x14ac:dyDescent="0.3">
      <c r="A121" s="2" t="s">
        <v>479</v>
      </c>
      <c r="B121" s="2" t="s">
        <v>70</v>
      </c>
      <c r="C121" s="2" t="s">
        <v>52</v>
      </c>
      <c r="D121" s="2" t="s">
        <v>413</v>
      </c>
      <c r="E121" s="6" t="s">
        <v>362</v>
      </c>
      <c r="F121" s="2" t="s">
        <v>34</v>
      </c>
      <c r="G121" s="2" t="s">
        <v>82</v>
      </c>
      <c r="H121" s="2" t="s">
        <v>480</v>
      </c>
      <c r="I121" s="8" t="s">
        <v>482</v>
      </c>
    </row>
    <row r="124" spans="1:9" x14ac:dyDescent="0.3">
      <c r="H124" s="10" t="s">
        <v>482</v>
      </c>
      <c r="I124">
        <f>COUNTIF(I$2:I$121,H124)</f>
        <v>71</v>
      </c>
    </row>
    <row r="125" spans="1:9" x14ac:dyDescent="0.3">
      <c r="H125" s="10" t="s">
        <v>484</v>
      </c>
      <c r="I125">
        <f t="shared" ref="I125:I126" si="0">COUNTIF(I$2:I$121,H125)</f>
        <v>18</v>
      </c>
    </row>
    <row r="126" spans="1:9" x14ac:dyDescent="0.3">
      <c r="H126" s="10" t="s">
        <v>483</v>
      </c>
      <c r="I126">
        <f t="shared" si="0"/>
        <v>31</v>
      </c>
    </row>
  </sheetData>
  <autoFilter ref="A1:H121" xr:uid="{00000000-0009-0000-0000-000000000000}">
    <filterColumn colId="1">
      <filters>
        <filter val="Multivariate"/>
        <filter val="Multivariate (directional)"/>
        <filter val="Multivariate / Dependence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Distributions to Add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Kevin James Ross</cp:lastModifiedBy>
  <cp:revision>0</cp:revision>
  <dcterms:created xsi:type="dcterms:W3CDTF">2026-07-27T15:00:24Z</dcterms:created>
  <dcterms:modified xsi:type="dcterms:W3CDTF">2026-07-28T04:48:53Z</dcterms:modified>
  <dc:language>en-US</dc:language>
</cp:coreProperties>
</file>