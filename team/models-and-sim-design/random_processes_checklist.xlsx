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jross\Downloads\"/>
    </mc:Choice>
  </mc:AlternateContent>
  <xr:revisionPtr revIDLastSave="0" documentId="13_ncr:1_{0DAECD4B-D0F2-4F9F-BE7B-AA750EE604E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sk 1 - Processes" sheetId="1" r:id="rId1"/>
  </sheets>
  <definedNames>
    <definedName name="_xlnm._FilterDatabase" localSheetId="0" hidden="1">'Task 1 - Processes'!$A$1:$I$52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1" l="1"/>
</calcChain>
</file>

<file path=xl/sharedStrings.xml><?xml version="1.0" encoding="utf-8"?>
<sst xmlns="http://schemas.openxmlformats.org/spreadsheetml/2006/main" count="294" uniqueCount="174">
  <si>
    <t>#</t>
  </si>
  <si>
    <t>Item</t>
  </si>
  <si>
    <t>Why It Matters</t>
  </si>
  <si>
    <t>Depends On</t>
  </si>
  <si>
    <t>Notes</t>
  </si>
  <si>
    <t>No dependencies, any order</t>
  </si>
  <si>
    <t>RandomWalk (cumulative sum of i.i.d. steps).</t>
  </si>
  <si>
    <t>First process in almost every intro course; gambler's ruin, CLT intuition.</t>
  </si>
  <si>
    <t>None</t>
  </si>
  <si>
    <t>Ornstein-Uhlenbeck, as a GaussianProcessProbabilitySpace subclass.</t>
  </si>
  <si>
    <t>Finance (Vasicek short-rate model), physics; standard second example after Brownian motion.</t>
  </si>
  <si>
    <t>Confirmed: that class already takes an arbitrary cov_func, so this is a thin wrap, not new machinery. Also expressible as a DiffusionProcess parameterization if the approximate route is ever preferred.</t>
  </si>
  <si>
    <t>Brownian Bridge.</t>
  </si>
  <si>
    <t>Standard example in probability courses (KS statistic, etc.).</t>
  </si>
  <si>
    <t>Same mechanism as #2 -- cov_func = min(s,t) - s*t/T.</t>
  </si>
  <si>
    <t>Birth-death-generator-matrix wrapper over ContinuousTimeMarkovChain.</t>
  </si>
  <si>
    <t>Unlocks M/M/1 (canonical first queueing example), M/M/s and variants, Yule/birth-death (canonical alongside the Poisson process in nearly every intro stochastic-processes textbook), and SIR/SEIR (increasingly common in stats/biology curricula) in a single pass.</t>
  </si>
  <si>
    <t>Confirmed: ContinuousTimeMarkovChain's existing structure already supports this.</t>
  </si>
  <si>
    <t>Polya urn scheme.</t>
  </si>
  <si>
    <t>Classic in both classical probability and Bayesian courses; directly motivates exchangeability, CRP, and DP.</t>
  </si>
  <si>
    <t>Chinese Restaurant Process.</t>
  </si>
  <si>
    <t>Commonly taught by name as the sequential, exchangeable-partition view of the Dirichlet process; the standard entry point in Bayesian nonparametrics courses.</t>
  </si>
  <si>
    <t>Should be prioritized above the Dirichlet process itself -- nearly free once the recursive-caching pattern exists.</t>
  </si>
  <si>
    <t>MA(q) process.</t>
  </si>
  <si>
    <t>Standard time-series model (stats/econometrics).</t>
  </si>
  <si>
    <t>Bernoulli process (named convenience).</t>
  </si>
  <si>
    <t>Pedagogically common as a named process.</t>
  </si>
  <si>
    <t>Already fully expressible today as Bernoulli(p) ** inf; only value is a friendlier name and docs entry.</t>
  </si>
  <si>
    <t>[Decision] AR(p)/ARMA(p,q) initial-conditions design.</t>
  </si>
  <si>
    <t>The other standard time-series model; ubiquitous in econometrics/finance.</t>
  </si>
  <si>
    <t>Start at 0 (simple, visible transient) vs. draw first p values from stationary distribution (no transient, but only has a clean closed form for simple cases like Gaussian AR(1)). Implementation reuses the existing MarkovChainResult._func lazily-extending, self-caching recursion pattern -- no new infrastructure needed, just this design decision.</t>
  </si>
  <si>
    <t>Galton-Watson/branching process.</t>
  </si>
  <si>
    <t>Standard topic in discrete probability, population genetics, epidemics.</t>
  </si>
  <si>
    <t>Recursive like AR: X[n+1] = sum of X[n] i.i.d. offspring draws. Same InfiniteVector caching, slightly more bookkeeping due to variable-length sums per step.</t>
  </si>
  <si>
    <t>Fractional Brownian Motion.</t>
  </si>
  <si>
    <t>Increasingly common in finance/stats electives (long-range dependence).</t>
  </si>
  <si>
    <t>Document the covariance-matrix performance caveat: GaussianProcessResult conditions via np.linalg.solve on a growing covariance matrix, which can get slow for many evaluated points.</t>
  </si>
  <si>
    <t>Non-homogeneous Poisson Process.</t>
  </si>
  <si>
    <t>Queueing/reliability courses.</t>
  </si>
  <si>
    <t>Needs thinning or time-change simulation instead of fixed-rate exponential interarrival -- genuine new algorithmic work, not a parameter swap.</t>
  </si>
  <si>
    <t>Document Telegraph process as a worked example.</t>
  </si>
  <si>
    <t>Signal processing/engineering courses.</t>
  </si>
  <si>
    <t>No new code -- it is a continuous-time two-state Markov chain, ContinuousTimeMarkovChain with n=2 already covers it.</t>
  </si>
  <si>
    <t>Document multi-state life-insurance/disability and survival models as worked examples.</t>
  </si>
  <si>
    <t>Standard in life contingencies/multi-state actuarial modeling courses.</t>
  </si>
  <si>
    <t>No new code -- already achievable via ContinuousTimeMarkovChain with actuarially-labeled states.</t>
  </si>
  <si>
    <t>Fix RenewalProcess's missing guard against negative-support interarrival distributions, then merge it into symbulate/.</t>
  </si>
  <si>
    <t>Generalizes Poisson; queueing and reliability courses.</t>
  </si>
  <si>
    <t>Validation is weaker than Poisson's (relies on the underlying distribution's own constructor); nothing currently stops a negative-support distribution (e.g. Normal) from breaking the nondecreasing-counting-function invariant.</t>
  </si>
  <si>
    <t>Fix DiffusionProcess's RNG-seeding bug in its demo, then merge it into symbulate/.</t>
  </si>
  <si>
    <t>Foundational infrastructure: turns CIR, Vasicek, CEV/CKLS, and other finance/engineering SDEs into near-free (mu, sigma) parameterizations rather than new numerical work.</t>
  </si>
  <si>
    <t>Must reseed the module's actual rng, not np.random.seed. Validated elsewhere: reduces exactly to Brownian motion in the constant-coefficient case; matches known OU stationary variance; all 1514 existing tests still pass.</t>
  </si>
  <si>
    <t>Chained off items above</t>
  </si>
  <si>
    <t>Geometric Brownian Motion.</t>
  </si>
  <si>
    <t>The textbook stock-price model; the single most commonly requested finance addition.</t>
  </si>
  <si>
    <t>None (grouped here)</t>
  </si>
  <si>
    <t>Exact wrapper around BrownianMotionResult: S0*exp((mu-sigma^2/2)t + sigma*W(t)). Preferred over routing through DiffusionProcess, since this way it stays exact rather than an Euler-Maruyama approximation.</t>
  </si>
  <si>
    <t>M/M/1, M/M/s, M/M/s/K, M/M/s/s, M/M/s/K/N, M/M/infinity.</t>
  </si>
  <si>
    <t>M/M/1 is the canonical first example in every queueing/OR/engineering course; the rest are the standard generalizations taught immediately after (finite buffers/servers, blocking probability, population models).</t>
  </si>
  <si>
    <t>#4</t>
  </si>
  <si>
    <t>Yule/birth-death process, named explicitly.</t>
  </si>
  <si>
    <t>The other canonical example, alongside the Poisson process, in nearly every introductory stochastic-processes textbook (e.g. Ross); also the direct ancestor of the queueing birth-death chains.</t>
  </si>
  <si>
    <t>The simplest case of the same wrapper -- mainly needs surfacing and documenting as its own named entry.</t>
  </si>
  <si>
    <t>SIR/SEIR epidemic models.</t>
  </si>
  <si>
    <t>Increasingly common in statistics and biology curricula.</t>
  </si>
  <si>
    <t>Same generator-matrix wrapper, over (S,I,R) counts instead of queue length. State space grows combinatorially, so the wrapper needs a larger matrix, but ContinuousTimeMarkovChain itself needs no changes.</t>
  </si>
  <si>
    <t>Hitting-time/upcrossings utility, Tier A (discrete-time/pure-jump processes).</t>
  </si>
  <si>
    <t>Covers most processes on this list with no new algorithmic risk.</t>
  </si>
  <si>
    <t>Easy and exact: walks path[0], path[1], ... (or the jump-time sequence) until a crossing, with a max_time/max_steps cutoff. Already usable today via RV.apply() with no new plumbing -- the real work is writing hitting_time/upcrossings themselves. Recommend building the full hitting-time utility (Tiers A/B/C) as ONE shared utility with per-process-type dispatch, not three separate features. This also supersedes the standalone first-passage/ruin-time utility flagged in the actuarial section (see #26) -- ruin time is one use case of this general mechanism, not a separate build.</t>
  </si>
  <si>
    <t>Upcrossings, as a sequence.</t>
  </si>
  <si>
    <t>The natural generalization once single-hit detection works; requested explicitly alongside hitting times.</t>
  </si>
  <si>
    <t>#21 (and/or whichever Tier is built)</t>
  </si>
  <si>
    <t>Nearly free once hitting_time works for a process: find the first crossing, then the next, and repeat. Natural representation is an InfiniteVector -- lazily generating the nth upcrossing time on demand, the same caching pattern used throughout the codebase.</t>
  </si>
  <si>
    <t>GARCH(1,1)/ARCH.</t>
  </si>
  <si>
    <t>The standard volatility model in financial engineering/stats courses.</t>
  </si>
  <si>
    <t>#9</t>
  </si>
  <si>
    <t>Two coupled recursive sequences (variance and value); reuses #9's recursive-caching pattern.</t>
  </si>
  <si>
    <t>Document Weibull/power-law (Crow-AMSAA) process framing.</t>
  </si>
  <si>
    <t>The textbook-named special case of the non-homogeneous Poisson process used throughout reliability engineering.</t>
  </si>
  <si>
    <t>#12</t>
  </si>
  <si>
    <t>No new code -- already covered structurally once #12 exists; worth naming explicitly since that's how reliability-engineering courses present it.</t>
  </si>
  <si>
    <t>Compound Poisson Process.</t>
  </si>
  <si>
    <t>Insurance/finance risk models; core building block of aggregate loss models.</t>
  </si>
  <si>
    <t>#15</t>
  </si>
  <si>
    <t>Reuses the interarrival-time machinery; add a jump-size draw at each arrival, track the cumulative sum.</t>
  </si>
  <si>
    <t>Cramer-Lundberg risk process.</t>
  </si>
  <si>
    <t>The foundational model of ruin theory; near-universal starting point for the actuarial risk subfield, the same way Bernoulli/Binomial are for discrete probability.</t>
  </si>
  <si>
    <t>#25</t>
  </si>
  <si>
    <t>Compound Poisson plus a deterministic linear drift term. Note: ruin time/probability for this process is a use case of the general hitting-time utility (#21), not a separate build.</t>
  </si>
  <si>
    <t>Sparre Andersen risk process.</t>
  </si>
  <si>
    <t>The standard generalization taught right after Cramer-Lundberg in ruin theory.</t>
  </si>
  <si>
    <t>#25, #15</t>
  </si>
  <si>
    <t>Trivial given #15 -- swap the Poisson arrival process for a RenewalProcess, reuse the same surplus-process wrapper as Cramer-Lundberg.</t>
  </si>
  <si>
    <t>Aggregate loss process with actuarial severities.</t>
  </si>
  <si>
    <t>Standard in P&amp;C ratemaking and loss modeling (Klugman Loss Models is the SOA reference text).</t>
  </si>
  <si>
    <t>Needs some severity distribution -- any existing one (Gamma, Lognormal, Pareto, etc.) works; Tweedie/Burr/Lomax/GPD are optional higher-fidelity choices if built, not requirements. Process code itself needs no new work beyond accepting an arbitrary severity RV, which it already does.</t>
  </si>
  <si>
    <t>Hawkes process.</t>
  </si>
  <si>
    <t>Increasingly taught in statistics, finance, and ML electives (high-frequency trading, earthquake and social-event data).</t>
  </si>
  <si>
    <t>#25, #12</t>
  </si>
  <si>
    <t>Intensity depends on the process's own past events via a decaying kernel -- needs genuinely new recursive-intensity plus thinning implementation (Ogata's algorithm), not a parameterization.</t>
  </si>
  <si>
    <t>Shot-noise/filtered Poisson process.</t>
  </si>
  <si>
    <t>Common in electrical engineering/signal processing and physics courses.</t>
  </si>
  <si>
    <t>Same structure as Compound Poisson, but with a general impulse-response function at each arrival instead of a scalar jump size.</t>
  </si>
  <si>
    <t>Cox process.</t>
  </si>
  <si>
    <t>A Poisson process whose intensity is itself random; unifies several items on this list rather than being a one-off.</t>
  </si>
  <si>
    <t>Built on non-homogeneous Poisson thinning: draw a random intensity path, then thin against that realization. Subsumes the Markov-modulated Poisson process as one special case (intensity driven by a ContinuousTimeMarkovChain).</t>
  </si>
  <si>
    <t>Mixed Poisson process.</t>
  </si>
  <si>
    <t>Standard overdispersion model for claim counts in Klugman-style loss-model frameworks.</t>
  </si>
  <si>
    <t>Draw a random rate once per path, then feed it into the existing Poisson/Renewal machinery. Since &gt;&gt;/Hierarchical is on hold, build via the existing manual ProbabilitySpace(generator_function) composition pattern (as already used for e.g. BetaBinomialProbspace), not via &gt;&gt;.</t>
  </si>
  <si>
    <t>Hidden Markov Model.</t>
  </si>
  <si>
    <t>Extremely common across stats, ML, bioinformatics, engineering.</t>
  </si>
  <si>
    <t>Build on existing MarkovChain for the hidden state, then draw a state-dependent emission at each step; new Result class plus validation of emission distributions per state. Same &gt;&gt;-deferral note as #32.</t>
  </si>
  <si>
    <t>G/G/1 queue via Lindley's recursion.</t>
  </si>
  <si>
    <t>General-service queues are not Markovian in continuous state and need a genuinely new recursive process; the standard next step after Markovian queues in any queueing-theory course.</t>
  </si>
  <si>
    <t>Leans directly on the RenewalProcess groundwork for the arrival side.</t>
  </si>
  <si>
    <t>M/G/1, G/M/1.</t>
  </si>
  <si>
    <t>Standard named special cases taught alongside the general G/G/1 queue.</t>
  </si>
  <si>
    <t>#34</t>
  </si>
  <si>
    <t>Fall out for free as special cases of #34.</t>
  </si>
  <si>
    <t>Continuous-time queue-length path N(t) for G/G/1.</t>
  </si>
  <si>
    <t>Completes the G/G/1 picture with a continuous-time view of queue length, not just wait times.</t>
  </si>
  <si>
    <t>G/G/s multi-server queue.</t>
  </si>
  <si>
    <t>Standard multi-server generalization, lower priority/grad-level.</t>
  </si>
  <si>
    <t>Little's-Law-style derived summary utilities over any queue process.</t>
  </si>
  <si>
    <t>Little's Law (L = lambda*W) is one of the most-cited results across all of queueing theory.</t>
  </si>
  <si>
    <t>#18, #34</t>
  </si>
  <si>
    <t>Needs the #18/#34 family to exist.</t>
  </si>
  <si>
    <t>Queueing networks (Jackson networks, tandem queues).</t>
  </si>
  <si>
    <t>Lower-priority grad-level topics with narrower audiences.</t>
  </si>
  <si>
    <t>Lowest priority.</t>
  </si>
  <si>
    <t>Hitting-time/upcrossings utility, Tier B (Brownian motion/Gaussian processes).</t>
  </si>
  <si>
    <t>BM and OU are among the most central processes on the whole list, so this tier matters even though it needs real work.</t>
  </si>
  <si>
    <t>Only needs the pre-existing GaussianProcessResult, but sequence after #16 to reuse its bisection technique. Moderate but exact: the reflection principle gives a closed-form probability that a Brownian bridge between two known points crosses the level in the gap; draw a Bernoulli using that probability, then bisect to localize the exact crossing time -- the same bisection machinery already built for DiffusionProcess's zoom-in behavior, answering a crossing question instead of a value question.</t>
  </si>
  <si>
    <t>CIR (Cox-Ingersoll-Ross).</t>
  </si>
  <si>
    <t>The other classic finance short-rate model, always taught alongside Vasicek/OU.</t>
  </si>
  <si>
    <t>Exact route via ChiSquare(df, noncentrality=...), which already exists in distributions.py today. No dependency on #16 for this route (note: going through DiffusionProcess instead makes it an Euler-Maruyama approximation, not the exact noncentral-chi-square simulation some packages use).</t>
  </si>
  <si>
    <t>CEV, CKLS.</t>
  </si>
  <si>
    <t>Occasionally seen in grad finance electives.</t>
  </si>
  <si>
    <t>#16</t>
  </si>
  <si>
    <t>Easy given DiffusionProcess -- just supply the (mu, sigma) pair, same as CIR.</t>
  </si>
  <si>
    <t>Hitting-time/upcrossings utility, Tier C (general diffusions).</t>
  </si>
  <si>
    <t>Extends the utility to the SDE family, but inherits that family's own caveats.</t>
  </si>
  <si>
    <t>Moderate but approximate: no closed-form bridge-crossing probability exists for a general SDE, so this reuses the same Euler-Maruyama plus mesh-refinement approach already flagged as approximate for DiffusionProcess, with accuracy controlled by the same tol parameter. Inherits DiffusionProcess's own caveats.</t>
  </si>
  <si>
    <t>Merton Jump-Diffusion.</t>
  </si>
  <si>
    <t>Standard in financial engineering courses.</t>
  </si>
  <si>
    <t>#17, #25</t>
  </si>
  <si>
    <t>Cheap once GBM and Compound Poisson both exist -- mostly composition of the two.</t>
  </si>
  <si>
    <t>Bayesian nonparametrics</t>
  </si>
  <si>
    <t>[Decision] Resolve the Dirichlet process's own architecture.</t>
  </si>
  <si>
    <t>The central object in any Bayesian nonparametrics graduate course.</t>
  </si>
  <si>
    <t>Its own object whose .draw() returns a random discrete distribution, vs. a RandomProcess subclass -- a DP realization (countably-infinite atoms/weights from stick-breaking) doesn't naturally fit the time-indexed X[t] shape every other process here uses.</t>
  </si>
  <si>
    <t>Stick-breaking weight-generator (general InfiniteVector core).</t>
  </si>
  <si>
    <t>Foundational infrastructure for the Dirichlet process and its relatives (see #47, #48).</t>
  </si>
  <si>
    <t>Split out from the Dirichlet process item: the actual weight-generation math (draw V_k ~ Beta, w_k = V_k * prod_(j&lt;k)(1-V_j), cached lazily like MarkovChainResult._func) has no dependency on #45 -- #45 is only about how the final user-facing object is exposed. Only needs Beta(1, alpha), which Symbulate already has -- does NOT require the (currently missing) multivariate Dirichlet distribution. Built generically (parameterized by a sequence of Beta parameters), it also directly serves Pitman-Yor's Beta(1-d, alpha+kd) construction (#48) without being written twice.</t>
  </si>
  <si>
    <t>Dirichlet process (wire stick-breaking weights + atoms from a base distribution into a user-facing object).</t>
  </si>
  <si>
    <t>#45, #46</t>
  </si>
  <si>
    <t>Sequence after #5/#6.</t>
  </si>
  <si>
    <t>Pitman-Yor process, Indian Buffet process, Beta process.</t>
  </si>
  <si>
    <t>Real, but grad-level Bayesian ML topics with a narrower audience.</t>
  </si>
  <si>
    <t>#46</t>
  </si>
  <si>
    <t>Reuses the generic stick-breaking core from #46 directly. Same architectural issue as #45 for how the final object is exposed; compounded by a narrower audience -- lowest priority.</t>
  </si>
  <si>
    <t>Add now</t>
  </si>
  <si>
    <t>yes</t>
  </si>
  <si>
    <t>not necessary but should be easy</t>
  </si>
  <si>
    <t>maybe</t>
  </si>
  <si>
    <t>no</t>
  </si>
  <si>
    <t>investigate the note</t>
  </si>
  <si>
    <t>not sure what this is</t>
  </si>
  <si>
    <t>Group</t>
  </si>
  <si>
    <t>Priority within group</t>
  </si>
  <si>
    <t>A</t>
  </si>
  <si>
    <t>B</t>
  </si>
  <si>
    <t>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</si>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</sst>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  <font>
      <i/>
      <sz val="11"/>
      <color rgb="FF9C5700"/>
      <name val="Arial"/>
    </font>
    <font>
      <sz val="11"/>
      <color rgb="FF1F6B3A"/>
      <name val="Arial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1" fillId="2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top" wrapText="1"/>
    </xf>
    <xf numFmtId="0" fontId="3" fillId="0" borderId="3" xfId="0" applyFont="1" applyFill="1" applyBorder="1" applyAlignment="1">
      <alignment vertical="top" wrapText="1"/>
    </xf>
    <xf numFmtId="0" fontId="3" fillId="0" borderId="0" xfId="0" applyFont="1" applyFill="1" applyBorder="1" applyAlignment="1">
      <alignment vertical="top" wrapText="1"/>
    </xf>
    <xf numFmtId="0" fontId="5" fillId="5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"/>
  <sheetViews>
    <sheetView tabSelected="1" workbookViewId="0">
      <pane ySplit="1" topLeftCell="A48" activePane="bottomLeft" state="frozen"/>
      <selection pane="bottomLeft" activeCell="G5" sqref="G5"/>
    </sheetView>
  </sheetViews>
  <sheetFormatPr defaultRowHeight="14.4" x14ac:dyDescent="0.3"/>
  <cols>
    <col min="1" max="1" width="6" customWidth="1"/>
    <col min="2" max="2" width="8.33203125" customWidth="1"/>
    <col min="3" max="3" width="13.33203125" bestFit="1" customWidth="1"/>
    <col min="4" max="4" width="50" customWidth="1"/>
    <col min="5" max="5" width="42" customWidth="1"/>
    <col min="6" max="6" width="18" customWidth="1"/>
    <col min="7" max="7" width="60" customWidth="1"/>
    <col min="9" max="9" width="8.77734375" bestFit="1" customWidth="1"/>
  </cols>
  <sheetData>
    <row r="1" spans="1:9" ht="30" customHeight="1" x14ac:dyDescent="0.3">
      <c r="A1" s="1" t="s">
        <v>0</v>
      </c>
      <c r="B1" s="1" t="s">
        <v>168</v>
      </c>
      <c r="C1" s="1" t="s">
        <v>169</v>
      </c>
      <c r="D1" s="1" t="s">
        <v>1</v>
      </c>
      <c r="E1" s="1" t="s">
        <v>2</v>
      </c>
      <c r="F1" s="1" t="s">
        <v>3</v>
      </c>
      <c r="G1" s="1" t="s">
        <v>4</v>
      </c>
      <c r="H1" s="10" t="s">
        <v>161</v>
      </c>
    </row>
    <row r="2" spans="1:9" x14ac:dyDescent="0.3">
      <c r="A2" s="8" t="s">
        <v>5</v>
      </c>
      <c r="B2" s="8"/>
      <c r="C2" s="8"/>
      <c r="D2" s="9"/>
      <c r="E2" s="9"/>
      <c r="F2" s="9"/>
      <c r="G2" s="9"/>
    </row>
    <row r="3" spans="1:9" ht="27.6" x14ac:dyDescent="0.3">
      <c r="A3" s="2">
        <v>1</v>
      </c>
      <c r="B3" s="2" t="s">
        <v>170</v>
      </c>
      <c r="C3" s="2">
        <v>1</v>
      </c>
      <c r="D3" s="3" t="s">
        <v>6</v>
      </c>
      <c r="E3" s="3" t="s">
        <v>7</v>
      </c>
      <c r="F3" s="3" t="s">
        <v>8</v>
      </c>
      <c r="G3" s="3"/>
      <c r="H3" s="11" t="s">
        <v>162</v>
      </c>
    </row>
    <row r="4" spans="1:9" ht="55.2" x14ac:dyDescent="0.3">
      <c r="A4" s="2">
        <v>2</v>
      </c>
      <c r="B4" s="2" t="s">
        <v>171</v>
      </c>
      <c r="C4" s="2">
        <v>1</v>
      </c>
      <c r="D4" s="3" t="s">
        <v>9</v>
      </c>
      <c r="E4" s="3" t="s">
        <v>10</v>
      </c>
      <c r="F4" s="3" t="s">
        <v>8</v>
      </c>
      <c r="G4" s="3" t="s">
        <v>11</v>
      </c>
      <c r="H4" s="11" t="s">
        <v>162</v>
      </c>
    </row>
    <row r="5" spans="1:9" ht="27.6" x14ac:dyDescent="0.3">
      <c r="A5" s="2">
        <v>3</v>
      </c>
      <c r="B5" s="2" t="s">
        <v>171</v>
      </c>
      <c r="C5" s="2">
        <v>2</v>
      </c>
      <c r="D5" s="3" t="s">
        <v>12</v>
      </c>
      <c r="E5" s="3" t="s">
        <v>13</v>
      </c>
      <c r="F5" s="3" t="s">
        <v>8</v>
      </c>
      <c r="G5" s="3" t="s">
        <v>14</v>
      </c>
      <c r="H5" s="11" t="s">
        <v>162</v>
      </c>
    </row>
    <row r="6" spans="1:9" ht="96.6" x14ac:dyDescent="0.3">
      <c r="A6" s="2">
        <v>4</v>
      </c>
      <c r="B6" s="2" t="s">
        <v>173</v>
      </c>
      <c r="C6" s="2">
        <v>1</v>
      </c>
      <c r="D6" s="3" t="s">
        <v>15</v>
      </c>
      <c r="E6" s="3" t="s">
        <v>16</v>
      </c>
      <c r="F6" s="3" t="s">
        <v>8</v>
      </c>
      <c r="G6" s="3" t="s">
        <v>17</v>
      </c>
      <c r="H6" s="12" t="s">
        <v>162</v>
      </c>
    </row>
    <row r="7" spans="1:9" ht="69" x14ac:dyDescent="0.3">
      <c r="A7" s="2">
        <v>5</v>
      </c>
      <c r="B7" s="2" t="s">
        <v>170</v>
      </c>
      <c r="C7" s="2"/>
      <c r="D7" s="3" t="s">
        <v>18</v>
      </c>
      <c r="E7" s="3" t="s">
        <v>19</v>
      </c>
      <c r="F7" s="3" t="s">
        <v>8</v>
      </c>
      <c r="G7" s="3"/>
      <c r="H7" s="12" t="s">
        <v>164</v>
      </c>
      <c r="I7" s="12" t="s">
        <v>163</v>
      </c>
    </row>
    <row r="8" spans="1:9" ht="69" x14ac:dyDescent="0.3">
      <c r="A8" s="2">
        <v>6</v>
      </c>
      <c r="B8" s="2" t="s">
        <v>170</v>
      </c>
      <c r="C8" s="2"/>
      <c r="D8" s="3" t="s">
        <v>20</v>
      </c>
      <c r="E8" s="3" t="s">
        <v>21</v>
      </c>
      <c r="F8" s="3" t="s">
        <v>8</v>
      </c>
      <c r="G8" s="3" t="s">
        <v>22</v>
      </c>
      <c r="H8" s="12" t="s">
        <v>164</v>
      </c>
      <c r="I8" s="12" t="s">
        <v>163</v>
      </c>
    </row>
    <row r="9" spans="1:9" ht="27.6" x14ac:dyDescent="0.3">
      <c r="A9" s="2">
        <v>7</v>
      </c>
      <c r="B9" s="2" t="s">
        <v>170</v>
      </c>
      <c r="C9" s="2">
        <v>2</v>
      </c>
      <c r="D9" s="3" t="s">
        <v>23</v>
      </c>
      <c r="E9" s="3" t="s">
        <v>24</v>
      </c>
      <c r="F9" s="3" t="s">
        <v>8</v>
      </c>
      <c r="G9" s="3"/>
      <c r="H9" s="12" t="s">
        <v>162</v>
      </c>
    </row>
    <row r="10" spans="1:9" ht="69" x14ac:dyDescent="0.3">
      <c r="A10" s="2">
        <v>8</v>
      </c>
      <c r="B10" s="2" t="s">
        <v>170</v>
      </c>
      <c r="C10" s="2"/>
      <c r="D10" s="3" t="s">
        <v>25</v>
      </c>
      <c r="E10" s="3" t="s">
        <v>26</v>
      </c>
      <c r="F10" s="3" t="s">
        <v>8</v>
      </c>
      <c r="G10" s="3" t="s">
        <v>27</v>
      </c>
      <c r="H10" s="12" t="s">
        <v>164</v>
      </c>
      <c r="I10" s="12" t="s">
        <v>163</v>
      </c>
    </row>
    <row r="11" spans="1:9" ht="86.4" x14ac:dyDescent="0.3">
      <c r="A11" s="4">
        <v>9</v>
      </c>
      <c r="B11" s="4" t="s">
        <v>170</v>
      </c>
      <c r="C11" s="4">
        <v>3</v>
      </c>
      <c r="D11" s="5" t="s">
        <v>28</v>
      </c>
      <c r="E11" s="5" t="s">
        <v>29</v>
      </c>
      <c r="F11" s="5" t="s">
        <v>8</v>
      </c>
      <c r="G11" s="5" t="s">
        <v>30</v>
      </c>
      <c r="H11" s="12" t="s">
        <v>162</v>
      </c>
      <c r="I11" s="13" t="s">
        <v>166</v>
      </c>
    </row>
    <row r="12" spans="1:9" ht="41.4" x14ac:dyDescent="0.3">
      <c r="A12" s="2">
        <v>10</v>
      </c>
      <c r="B12" s="2" t="s">
        <v>170</v>
      </c>
      <c r="C12" s="2">
        <v>5</v>
      </c>
      <c r="D12" s="3" t="s">
        <v>31</v>
      </c>
      <c r="E12" s="3" t="s">
        <v>32</v>
      </c>
      <c r="F12" s="3" t="s">
        <v>8</v>
      </c>
      <c r="G12" s="3" t="s">
        <v>33</v>
      </c>
      <c r="H12" s="12" t="s">
        <v>162</v>
      </c>
    </row>
    <row r="13" spans="1:9" ht="55.2" x14ac:dyDescent="0.3">
      <c r="A13" s="2">
        <v>11</v>
      </c>
      <c r="B13" s="2" t="s">
        <v>171</v>
      </c>
      <c r="C13" s="2">
        <v>3</v>
      </c>
      <c r="D13" s="3" t="s">
        <v>34</v>
      </c>
      <c r="E13" s="3" t="s">
        <v>35</v>
      </c>
      <c r="F13" s="3" t="s">
        <v>8</v>
      </c>
      <c r="G13" s="3" t="s">
        <v>36</v>
      </c>
      <c r="H13" s="12" t="s">
        <v>162</v>
      </c>
      <c r="I13" s="13" t="s">
        <v>166</v>
      </c>
    </row>
    <row r="14" spans="1:9" ht="41.4" x14ac:dyDescent="0.3">
      <c r="A14" s="2">
        <v>12</v>
      </c>
      <c r="B14" s="2" t="s">
        <v>172</v>
      </c>
      <c r="C14" s="2">
        <v>2</v>
      </c>
      <c r="D14" s="3" t="s">
        <v>37</v>
      </c>
      <c r="E14" s="3" t="s">
        <v>38</v>
      </c>
      <c r="F14" s="3" t="s">
        <v>8</v>
      </c>
      <c r="G14" s="3" t="s">
        <v>39</v>
      </c>
      <c r="H14" s="12" t="s">
        <v>162</v>
      </c>
    </row>
    <row r="15" spans="1:9" ht="69" x14ac:dyDescent="0.3">
      <c r="A15" s="2">
        <v>13</v>
      </c>
      <c r="B15" s="2" t="s">
        <v>173</v>
      </c>
      <c r="C15" s="2"/>
      <c r="D15" s="3" t="s">
        <v>40</v>
      </c>
      <c r="E15" s="3" t="s">
        <v>41</v>
      </c>
      <c r="F15" s="3" t="s">
        <v>8</v>
      </c>
      <c r="G15" s="3" t="s">
        <v>42</v>
      </c>
      <c r="H15" s="12" t="s">
        <v>164</v>
      </c>
      <c r="I15" s="13" t="s">
        <v>163</v>
      </c>
    </row>
    <row r="16" spans="1:9" ht="27.6" x14ac:dyDescent="0.3">
      <c r="A16" s="2">
        <v>14</v>
      </c>
      <c r="B16" s="2" t="s">
        <v>173</v>
      </c>
      <c r="C16" s="2"/>
      <c r="D16" s="3" t="s">
        <v>43</v>
      </c>
      <c r="E16" s="3" t="s">
        <v>44</v>
      </c>
      <c r="F16" s="3" t="s">
        <v>8</v>
      </c>
      <c r="G16" s="3" t="s">
        <v>45</v>
      </c>
      <c r="H16" s="12" t="s">
        <v>165</v>
      </c>
    </row>
    <row r="17" spans="1:8" ht="55.2" x14ac:dyDescent="0.3">
      <c r="A17" s="2">
        <v>15</v>
      </c>
      <c r="B17" s="2" t="s">
        <v>172</v>
      </c>
      <c r="C17" s="2">
        <v>1</v>
      </c>
      <c r="D17" s="3" t="s">
        <v>46</v>
      </c>
      <c r="E17" s="3" t="s">
        <v>47</v>
      </c>
      <c r="F17" s="3" t="s">
        <v>8</v>
      </c>
      <c r="G17" s="3" t="s">
        <v>48</v>
      </c>
      <c r="H17" s="12" t="s">
        <v>162</v>
      </c>
    </row>
    <row r="18" spans="1:8" ht="69" x14ac:dyDescent="0.3">
      <c r="A18" s="2">
        <v>16</v>
      </c>
      <c r="B18" s="2" t="s">
        <v>171</v>
      </c>
      <c r="C18" s="2">
        <v>6</v>
      </c>
      <c r="D18" s="3" t="s">
        <v>49</v>
      </c>
      <c r="E18" s="3" t="s">
        <v>50</v>
      </c>
      <c r="F18" s="3" t="s">
        <v>8</v>
      </c>
      <c r="G18" s="3" t="s">
        <v>51</v>
      </c>
      <c r="H18" s="12" t="s">
        <v>162</v>
      </c>
    </row>
    <row r="19" spans="1:8" x14ac:dyDescent="0.3">
      <c r="A19" s="8" t="s">
        <v>52</v>
      </c>
      <c r="B19" s="8"/>
      <c r="C19" s="8"/>
      <c r="D19" s="9"/>
      <c r="E19" s="9"/>
      <c r="F19" s="9"/>
      <c r="G19" s="9"/>
    </row>
    <row r="20" spans="1:8" ht="55.2" x14ac:dyDescent="0.3">
      <c r="A20" s="2">
        <v>17</v>
      </c>
      <c r="B20" s="2" t="s">
        <v>171</v>
      </c>
      <c r="C20" s="2">
        <v>4</v>
      </c>
      <c r="D20" s="3" t="s">
        <v>53</v>
      </c>
      <c r="E20" s="3" t="s">
        <v>54</v>
      </c>
      <c r="F20" s="3" t="s">
        <v>55</v>
      </c>
      <c r="G20" s="3" t="s">
        <v>56</v>
      </c>
      <c r="H20" s="12" t="s">
        <v>162</v>
      </c>
    </row>
    <row r="21" spans="1:8" ht="69" x14ac:dyDescent="0.3">
      <c r="A21" s="2">
        <v>18</v>
      </c>
      <c r="B21" s="2" t="s">
        <v>173</v>
      </c>
      <c r="C21" s="2">
        <v>2</v>
      </c>
      <c r="D21" s="3" t="s">
        <v>57</v>
      </c>
      <c r="E21" s="3" t="s">
        <v>58</v>
      </c>
      <c r="F21" s="3" t="s">
        <v>59</v>
      </c>
      <c r="G21" s="3"/>
      <c r="H21" s="12" t="s">
        <v>162</v>
      </c>
    </row>
    <row r="22" spans="1:8" ht="69" x14ac:dyDescent="0.3">
      <c r="A22" s="2">
        <v>19</v>
      </c>
      <c r="B22" s="2" t="s">
        <v>173</v>
      </c>
      <c r="C22" s="2">
        <v>3</v>
      </c>
      <c r="D22" s="3" t="s">
        <v>60</v>
      </c>
      <c r="E22" s="3" t="s">
        <v>61</v>
      </c>
      <c r="F22" s="3" t="s">
        <v>59</v>
      </c>
      <c r="G22" s="3" t="s">
        <v>62</v>
      </c>
      <c r="H22" s="12" t="s">
        <v>162</v>
      </c>
    </row>
    <row r="23" spans="1:8" ht="55.2" x14ac:dyDescent="0.3">
      <c r="A23" s="2">
        <v>20</v>
      </c>
      <c r="B23" s="2" t="s">
        <v>173</v>
      </c>
      <c r="C23" s="2">
        <v>4</v>
      </c>
      <c r="D23" s="3" t="s">
        <v>63</v>
      </c>
      <c r="E23" s="3" t="s">
        <v>64</v>
      </c>
      <c r="F23" s="3" t="s">
        <v>59</v>
      </c>
      <c r="G23" s="3" t="s">
        <v>65</v>
      </c>
      <c r="H23" s="12" t="s">
        <v>162</v>
      </c>
    </row>
    <row r="24" spans="1:8" ht="138" x14ac:dyDescent="0.3">
      <c r="A24" s="6">
        <v>21</v>
      </c>
      <c r="B24" s="6" t="s">
        <v>172</v>
      </c>
      <c r="C24" s="6">
        <v>5</v>
      </c>
      <c r="D24" s="7" t="s">
        <v>66</v>
      </c>
      <c r="E24" s="7" t="s">
        <v>67</v>
      </c>
      <c r="F24" s="7" t="s">
        <v>8</v>
      </c>
      <c r="G24" s="7" t="s">
        <v>68</v>
      </c>
      <c r="H24" s="12" t="s">
        <v>162</v>
      </c>
    </row>
    <row r="25" spans="1:8" ht="69" x14ac:dyDescent="0.3">
      <c r="A25" s="6">
        <v>22</v>
      </c>
      <c r="B25" s="6" t="s">
        <v>172</v>
      </c>
      <c r="C25" s="6">
        <v>7</v>
      </c>
      <c r="D25" s="7" t="s">
        <v>69</v>
      </c>
      <c r="E25" s="7" t="s">
        <v>70</v>
      </c>
      <c r="F25" s="7" t="s">
        <v>71</v>
      </c>
      <c r="G25" s="7" t="s">
        <v>72</v>
      </c>
      <c r="H25" s="12" t="s">
        <v>162</v>
      </c>
    </row>
    <row r="26" spans="1:8" ht="27.6" x14ac:dyDescent="0.3">
      <c r="A26" s="2">
        <v>23</v>
      </c>
      <c r="B26" s="2" t="s">
        <v>170</v>
      </c>
      <c r="C26" s="2">
        <v>4</v>
      </c>
      <c r="D26" s="3" t="s">
        <v>73</v>
      </c>
      <c r="E26" s="3" t="s">
        <v>74</v>
      </c>
      <c r="F26" s="3" t="s">
        <v>75</v>
      </c>
      <c r="G26" s="3" t="s">
        <v>76</v>
      </c>
      <c r="H26" s="12" t="s">
        <v>162</v>
      </c>
    </row>
    <row r="27" spans="1:8" ht="41.4" x14ac:dyDescent="0.3">
      <c r="A27" s="2">
        <v>24</v>
      </c>
      <c r="B27" s="2" t="s">
        <v>172</v>
      </c>
      <c r="C27" s="2"/>
      <c r="D27" s="3" t="s">
        <v>77</v>
      </c>
      <c r="E27" s="3" t="s">
        <v>78</v>
      </c>
      <c r="F27" s="3" t="s">
        <v>79</v>
      </c>
      <c r="G27" s="3" t="s">
        <v>80</v>
      </c>
      <c r="H27" s="12" t="s">
        <v>165</v>
      </c>
    </row>
    <row r="28" spans="1:8" ht="27.6" x14ac:dyDescent="0.3">
      <c r="A28" s="2">
        <v>25</v>
      </c>
      <c r="B28" s="2" t="s">
        <v>172</v>
      </c>
      <c r="C28" s="2">
        <v>3</v>
      </c>
      <c r="D28" s="3" t="s">
        <v>81</v>
      </c>
      <c r="E28" s="3" t="s">
        <v>82</v>
      </c>
      <c r="F28" s="3" t="s">
        <v>83</v>
      </c>
      <c r="G28" s="3" t="s">
        <v>84</v>
      </c>
      <c r="H28" s="12" t="s">
        <v>162</v>
      </c>
    </row>
    <row r="29" spans="1:8" ht="55.2" x14ac:dyDescent="0.3">
      <c r="A29" s="2">
        <v>26</v>
      </c>
      <c r="B29" s="2" t="s">
        <v>172</v>
      </c>
      <c r="C29" s="2"/>
      <c r="D29" s="3" t="s">
        <v>85</v>
      </c>
      <c r="E29" s="3" t="s">
        <v>86</v>
      </c>
      <c r="F29" s="3" t="s">
        <v>87</v>
      </c>
      <c r="G29" s="3" t="s">
        <v>88</v>
      </c>
      <c r="H29" s="12" t="s">
        <v>165</v>
      </c>
    </row>
    <row r="30" spans="1:8" ht="41.4" x14ac:dyDescent="0.3">
      <c r="A30" s="2">
        <v>27</v>
      </c>
      <c r="B30" s="2" t="s">
        <v>172</v>
      </c>
      <c r="C30" s="2"/>
      <c r="D30" s="3" t="s">
        <v>89</v>
      </c>
      <c r="E30" s="3" t="s">
        <v>90</v>
      </c>
      <c r="F30" s="3" t="s">
        <v>91</v>
      </c>
      <c r="G30" s="3" t="s">
        <v>92</v>
      </c>
      <c r="H30" s="12" t="s">
        <v>165</v>
      </c>
    </row>
    <row r="31" spans="1:8" ht="69" x14ac:dyDescent="0.3">
      <c r="A31" s="2">
        <v>28</v>
      </c>
      <c r="B31" s="2" t="s">
        <v>172</v>
      </c>
      <c r="C31" s="2"/>
      <c r="D31" s="3" t="s">
        <v>93</v>
      </c>
      <c r="E31" s="3" t="s">
        <v>94</v>
      </c>
      <c r="F31" s="3" t="s">
        <v>87</v>
      </c>
      <c r="G31" s="3" t="s">
        <v>95</v>
      </c>
      <c r="H31" s="12" t="s">
        <v>165</v>
      </c>
    </row>
    <row r="32" spans="1:8" ht="55.2" x14ac:dyDescent="0.3">
      <c r="A32" s="2">
        <v>29</v>
      </c>
      <c r="B32" s="2" t="s">
        <v>172</v>
      </c>
      <c r="C32" s="2"/>
      <c r="D32" s="3" t="s">
        <v>96</v>
      </c>
      <c r="E32" s="3" t="s">
        <v>97</v>
      </c>
      <c r="F32" s="3" t="s">
        <v>98</v>
      </c>
      <c r="G32" s="3" t="s">
        <v>99</v>
      </c>
      <c r="H32" s="12" t="s">
        <v>164</v>
      </c>
    </row>
    <row r="33" spans="1:9" ht="41.4" x14ac:dyDescent="0.3">
      <c r="A33" s="2">
        <v>30</v>
      </c>
      <c r="B33" s="2" t="s">
        <v>172</v>
      </c>
      <c r="C33" s="2"/>
      <c r="D33" s="3" t="s">
        <v>100</v>
      </c>
      <c r="E33" s="3" t="s">
        <v>101</v>
      </c>
      <c r="F33" s="3" t="s">
        <v>87</v>
      </c>
      <c r="G33" s="3" t="s">
        <v>102</v>
      </c>
      <c r="H33" s="12" t="s">
        <v>165</v>
      </c>
    </row>
    <row r="34" spans="1:9" ht="55.2" x14ac:dyDescent="0.3">
      <c r="A34" s="2">
        <v>31</v>
      </c>
      <c r="B34" s="2" t="s">
        <v>172</v>
      </c>
      <c r="C34" s="2">
        <v>4</v>
      </c>
      <c r="D34" s="3" t="s">
        <v>103</v>
      </c>
      <c r="E34" s="3" t="s">
        <v>104</v>
      </c>
      <c r="F34" s="3" t="s">
        <v>79</v>
      </c>
      <c r="G34" s="3" t="s">
        <v>105</v>
      </c>
      <c r="H34" s="12" t="s">
        <v>162</v>
      </c>
    </row>
    <row r="35" spans="1:9" ht="69" x14ac:dyDescent="0.3">
      <c r="A35" s="2">
        <v>32</v>
      </c>
      <c r="B35" s="2"/>
      <c r="C35" s="2"/>
      <c r="D35" s="3" t="s">
        <v>106</v>
      </c>
      <c r="E35" s="3" t="s">
        <v>107</v>
      </c>
      <c r="F35" s="3" t="s">
        <v>83</v>
      </c>
      <c r="G35" s="3" t="s">
        <v>108</v>
      </c>
      <c r="H35" s="12" t="s">
        <v>164</v>
      </c>
      <c r="I35" s="12" t="s">
        <v>166</v>
      </c>
    </row>
    <row r="36" spans="1:9" ht="55.2" x14ac:dyDescent="0.3">
      <c r="A36" s="2">
        <v>33</v>
      </c>
      <c r="B36" s="2"/>
      <c r="C36" s="2"/>
      <c r="D36" s="3" t="s">
        <v>109</v>
      </c>
      <c r="E36" s="3" t="s">
        <v>110</v>
      </c>
      <c r="F36" s="3" t="s">
        <v>8</v>
      </c>
      <c r="G36" s="3" t="s">
        <v>111</v>
      </c>
      <c r="H36" s="12" t="s">
        <v>164</v>
      </c>
      <c r="I36" s="12" t="s">
        <v>166</v>
      </c>
    </row>
    <row r="37" spans="1:9" ht="69" x14ac:dyDescent="0.3">
      <c r="A37" s="2">
        <v>34</v>
      </c>
      <c r="B37" s="2" t="s">
        <v>173</v>
      </c>
      <c r="C37" s="2">
        <v>5</v>
      </c>
      <c r="D37" s="3" t="s">
        <v>112</v>
      </c>
      <c r="E37" s="3" t="s">
        <v>113</v>
      </c>
      <c r="F37" s="3" t="s">
        <v>83</v>
      </c>
      <c r="G37" s="3" t="s">
        <v>114</v>
      </c>
      <c r="H37" s="12" t="s">
        <v>162</v>
      </c>
    </row>
    <row r="38" spans="1:9" ht="27.6" x14ac:dyDescent="0.3">
      <c r="A38" s="2">
        <v>35</v>
      </c>
      <c r="B38" s="2" t="s">
        <v>173</v>
      </c>
      <c r="C38" s="2">
        <v>6</v>
      </c>
      <c r="D38" s="3" t="s">
        <v>115</v>
      </c>
      <c r="E38" s="3" t="s">
        <v>116</v>
      </c>
      <c r="F38" s="3" t="s">
        <v>117</v>
      </c>
      <c r="G38" s="3" t="s">
        <v>118</v>
      </c>
      <c r="H38" s="12" t="s">
        <v>162</v>
      </c>
    </row>
    <row r="39" spans="1:9" ht="41.4" x14ac:dyDescent="0.3">
      <c r="A39" s="2">
        <v>36</v>
      </c>
      <c r="B39" s="2"/>
      <c r="C39" s="2"/>
      <c r="D39" s="3" t="s">
        <v>119</v>
      </c>
      <c r="E39" s="3" t="s">
        <v>120</v>
      </c>
      <c r="F39" s="3" t="s">
        <v>117</v>
      </c>
      <c r="G39" s="3"/>
      <c r="I39" s="12" t="s">
        <v>167</v>
      </c>
    </row>
    <row r="40" spans="1:9" ht="27.6" x14ac:dyDescent="0.3">
      <c r="A40" s="2">
        <v>37</v>
      </c>
      <c r="B40" s="2" t="s">
        <v>173</v>
      </c>
      <c r="C40" s="2">
        <v>7</v>
      </c>
      <c r="D40" s="3" t="s">
        <v>121</v>
      </c>
      <c r="E40" s="3" t="s">
        <v>122</v>
      </c>
      <c r="F40" s="3" t="s">
        <v>117</v>
      </c>
      <c r="G40" s="3"/>
      <c r="H40" s="12" t="s">
        <v>162</v>
      </c>
    </row>
    <row r="41" spans="1:9" ht="41.4" x14ac:dyDescent="0.3">
      <c r="A41" s="2">
        <v>38</v>
      </c>
      <c r="B41" s="2"/>
      <c r="C41" s="2"/>
      <c r="D41" s="3" t="s">
        <v>123</v>
      </c>
      <c r="E41" s="3" t="s">
        <v>124</v>
      </c>
      <c r="F41" s="3" t="s">
        <v>125</v>
      </c>
      <c r="G41" s="3" t="s">
        <v>126</v>
      </c>
      <c r="I41" s="12" t="s">
        <v>167</v>
      </c>
    </row>
    <row r="42" spans="1:9" ht="27.6" x14ac:dyDescent="0.3">
      <c r="A42" s="2">
        <v>39</v>
      </c>
      <c r="B42" s="2"/>
      <c r="C42" s="2"/>
      <c r="D42" s="3" t="s">
        <v>127</v>
      </c>
      <c r="E42" s="3" t="s">
        <v>128</v>
      </c>
      <c r="F42" s="3" t="s">
        <v>117</v>
      </c>
      <c r="G42" s="3" t="s">
        <v>129</v>
      </c>
      <c r="H42" s="12" t="s">
        <v>165</v>
      </c>
    </row>
    <row r="43" spans="1:9" ht="110.4" x14ac:dyDescent="0.3">
      <c r="A43" s="6">
        <v>40</v>
      </c>
      <c r="B43" s="6" t="s">
        <v>171</v>
      </c>
      <c r="C43" s="6">
        <v>7</v>
      </c>
      <c r="D43" s="7" t="s">
        <v>130</v>
      </c>
      <c r="E43" s="7" t="s">
        <v>131</v>
      </c>
      <c r="F43" s="7" t="s">
        <v>8</v>
      </c>
      <c r="G43" s="7" t="s">
        <v>132</v>
      </c>
      <c r="H43" s="14" t="s">
        <v>162</v>
      </c>
    </row>
    <row r="44" spans="1:9" ht="69" x14ac:dyDescent="0.3">
      <c r="A44" s="2">
        <v>41</v>
      </c>
      <c r="B44" s="2" t="s">
        <v>171</v>
      </c>
      <c r="C44" s="2">
        <v>5</v>
      </c>
      <c r="D44" s="3" t="s">
        <v>133</v>
      </c>
      <c r="E44" s="3" t="s">
        <v>134</v>
      </c>
      <c r="F44" s="3" t="s">
        <v>8</v>
      </c>
      <c r="G44" s="3" t="s">
        <v>135</v>
      </c>
      <c r="H44" s="11" t="s">
        <v>162</v>
      </c>
    </row>
    <row r="45" spans="1:9" ht="41.4" x14ac:dyDescent="0.3">
      <c r="A45" s="2">
        <v>42</v>
      </c>
      <c r="B45" s="2" t="s">
        <v>171</v>
      </c>
      <c r="C45" s="2"/>
      <c r="D45" s="3" t="s">
        <v>136</v>
      </c>
      <c r="E45" s="3" t="s">
        <v>137</v>
      </c>
      <c r="F45" s="3" t="s">
        <v>138</v>
      </c>
      <c r="G45" s="3" t="s">
        <v>139</v>
      </c>
      <c r="H45" s="12" t="s">
        <v>164</v>
      </c>
      <c r="I45" s="12" t="s">
        <v>167</v>
      </c>
    </row>
    <row r="46" spans="1:9" ht="82.8" x14ac:dyDescent="0.3">
      <c r="A46" s="6">
        <v>43</v>
      </c>
      <c r="B46" s="6" t="s">
        <v>171</v>
      </c>
      <c r="C46" s="6"/>
      <c r="D46" s="7" t="s">
        <v>140</v>
      </c>
      <c r="E46" s="7" t="s">
        <v>141</v>
      </c>
      <c r="F46" s="7" t="s">
        <v>138</v>
      </c>
      <c r="G46" s="7" t="s">
        <v>142</v>
      </c>
      <c r="H46" s="12" t="s">
        <v>164</v>
      </c>
    </row>
    <row r="47" spans="1:9" ht="27.6" x14ac:dyDescent="0.3">
      <c r="A47" s="2">
        <v>44</v>
      </c>
      <c r="B47" s="2" t="s">
        <v>171</v>
      </c>
      <c r="C47" s="2">
        <v>8</v>
      </c>
      <c r="D47" s="3" t="s">
        <v>143</v>
      </c>
      <c r="E47" s="3" t="s">
        <v>144</v>
      </c>
      <c r="F47" s="3" t="s">
        <v>145</v>
      </c>
      <c r="G47" s="3" t="s">
        <v>146</v>
      </c>
      <c r="H47" s="12" t="s">
        <v>162</v>
      </c>
    </row>
    <row r="48" spans="1:9" x14ac:dyDescent="0.3">
      <c r="A48" s="8" t="s">
        <v>147</v>
      </c>
      <c r="B48" s="8"/>
      <c r="C48" s="8"/>
      <c r="D48" s="9"/>
      <c r="E48" s="9"/>
      <c r="F48" s="9"/>
      <c r="G48" s="9"/>
    </row>
    <row r="49" spans="1:8" ht="72" x14ac:dyDescent="0.3">
      <c r="A49" s="4">
        <v>45</v>
      </c>
      <c r="B49" s="4"/>
      <c r="C49" s="4"/>
      <c r="D49" s="5" t="s">
        <v>148</v>
      </c>
      <c r="E49" s="5" t="s">
        <v>149</v>
      </c>
      <c r="F49" s="5" t="s">
        <v>8</v>
      </c>
      <c r="G49" s="5" t="s">
        <v>150</v>
      </c>
      <c r="H49" s="12" t="s">
        <v>165</v>
      </c>
    </row>
    <row r="50" spans="1:8" ht="138" x14ac:dyDescent="0.3">
      <c r="A50" s="6">
        <v>46</v>
      </c>
      <c r="B50" s="6"/>
      <c r="C50" s="6"/>
      <c r="D50" s="7" t="s">
        <v>151</v>
      </c>
      <c r="E50" s="7" t="s">
        <v>152</v>
      </c>
      <c r="F50" s="7" t="s">
        <v>8</v>
      </c>
      <c r="G50" s="7" t="s">
        <v>153</v>
      </c>
      <c r="H50" s="12" t="s">
        <v>164</v>
      </c>
    </row>
    <row r="51" spans="1:8" ht="27.6" x14ac:dyDescent="0.3">
      <c r="A51" s="2">
        <v>47</v>
      </c>
      <c r="B51" s="2"/>
      <c r="C51" s="2"/>
      <c r="D51" s="3" t="s">
        <v>154</v>
      </c>
      <c r="E51" s="3" t="s">
        <v>149</v>
      </c>
      <c r="F51" s="3" t="s">
        <v>155</v>
      </c>
      <c r="G51" s="3" t="s">
        <v>156</v>
      </c>
      <c r="H51" s="12" t="s">
        <v>165</v>
      </c>
    </row>
    <row r="52" spans="1:8" ht="41.4" x14ac:dyDescent="0.3">
      <c r="A52" s="2">
        <v>48</v>
      </c>
      <c r="B52" s="2"/>
      <c r="C52" s="2"/>
      <c r="D52" s="3" t="s">
        <v>157</v>
      </c>
      <c r="E52" s="3" t="s">
        <v>158</v>
      </c>
      <c r="F52" s="3" t="s">
        <v>159</v>
      </c>
      <c r="G52" s="3" t="s">
        <v>160</v>
      </c>
      <c r="H52" s="12" t="s">
        <v>165</v>
      </c>
    </row>
    <row r="55" spans="1:8" x14ac:dyDescent="0.3">
      <c r="G55" t="s">
        <v>162</v>
      </c>
      <c r="H55">
        <f>COUNTIF(H2:H52,G55)</f>
        <v>26</v>
      </c>
    </row>
  </sheetData>
  <autoFilter ref="A1:I52" xr:uid="{00000000-0001-0000-0000-000000000000}"/>
  <mergeCells count="3">
    <mergeCell ref="A2:G2"/>
    <mergeCell ref="A48:G48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1 - Processes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James Ross</cp:lastModifiedBy>
  <dcterms:created xsi:type="dcterms:W3CDTF">2026-07-29T18:48:43Z</dcterms:created>
  <dcterms:modified xsi:type="dcterms:W3CDTF">2026-07-29T19:53:48Z</dcterms:modified>
</cp:coreProperties>
</file>